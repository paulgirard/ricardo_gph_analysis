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youssef/Desktop/ricardo_gph_analysis/scripts/"/>
    </mc:Choice>
  </mc:AlternateContent>
  <xr:revisionPtr revIDLastSave="0" documentId="8_{D89B46FA-0CA8-8044-8C31-213EDCC63F2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New" sheetId="1" r:id="rId1"/>
    <sheet name="Old" sheetId="2" r:id="rId2"/>
  </sheets>
  <definedNames>
    <definedName name="_xlnm._FilterDatabase" localSheetId="0" hidden="1">New!$A$1:$C$1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2" i="1"/>
  <c r="C14" i="1"/>
  <c r="C15" i="1"/>
  <c r="C16" i="1"/>
  <c r="C17" i="1"/>
  <c r="C19" i="1"/>
  <c r="C20" i="1"/>
  <c r="C21" i="1"/>
  <c r="C22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4" i="1"/>
  <c r="C45" i="1"/>
  <c r="C47" i="1"/>
  <c r="C48" i="1"/>
  <c r="C51" i="1"/>
  <c r="C52" i="1"/>
  <c r="C54" i="1"/>
  <c r="C55" i="1"/>
  <c r="C56" i="1"/>
  <c r="C58" i="1"/>
  <c r="C59" i="1"/>
  <c r="C60" i="1"/>
  <c r="C61" i="1"/>
  <c r="C62" i="1"/>
  <c r="C66" i="1"/>
  <c r="C68" i="1"/>
  <c r="C70" i="1"/>
  <c r="C71" i="1"/>
  <c r="C73" i="1"/>
  <c r="C75" i="1"/>
  <c r="C79" i="1"/>
  <c r="C81" i="1"/>
  <c r="C82" i="1"/>
  <c r="C84" i="1"/>
  <c r="C85" i="1"/>
  <c r="C86" i="1"/>
  <c r="C87" i="1"/>
  <c r="C88" i="1"/>
  <c r="C89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6" i="1"/>
  <c r="C107" i="1"/>
  <c r="C108" i="1"/>
  <c r="C109" i="1"/>
  <c r="C111" i="1"/>
  <c r="C112" i="1"/>
  <c r="C113" i="1"/>
  <c r="C114" i="1"/>
  <c r="C115" i="1"/>
  <c r="C116" i="1"/>
  <c r="C117" i="1"/>
  <c r="C119" i="1"/>
  <c r="C120" i="1"/>
  <c r="C124" i="1"/>
  <c r="C129" i="1"/>
  <c r="C130" i="1"/>
  <c r="C131" i="1"/>
  <c r="C132" i="1"/>
  <c r="C134" i="1"/>
  <c r="C137" i="1"/>
  <c r="C138" i="1"/>
  <c r="C139" i="1"/>
  <c r="C140" i="1"/>
  <c r="C141" i="1"/>
  <c r="C144" i="1"/>
  <c r="C145" i="1"/>
  <c r="C146" i="1"/>
  <c r="C147" i="1"/>
  <c r="C148" i="1"/>
  <c r="C149" i="1"/>
  <c r="C152" i="1"/>
  <c r="C153" i="1"/>
  <c r="C155" i="1"/>
  <c r="C157" i="1"/>
  <c r="C158" i="1"/>
  <c r="C160" i="1"/>
  <c r="C161" i="1"/>
  <c r="C162" i="1"/>
  <c r="C163" i="1"/>
  <c r="C164" i="1"/>
  <c r="C165" i="1"/>
  <c r="C166" i="1"/>
  <c r="C167" i="1"/>
  <c r="C168" i="1"/>
  <c r="C169" i="1"/>
  <c r="C170" i="1"/>
  <c r="C172" i="1"/>
  <c r="C174" i="1"/>
  <c r="C176" i="1"/>
  <c r="C177" i="1"/>
  <c r="C178" i="1"/>
  <c r="C180" i="1"/>
  <c r="C181" i="1"/>
  <c r="C182" i="1"/>
  <c r="C183" i="1"/>
  <c r="C187" i="1"/>
  <c r="C188" i="1"/>
  <c r="C189" i="1"/>
  <c r="C191" i="1"/>
  <c r="C192" i="1"/>
  <c r="C193" i="1"/>
  <c r="C194" i="1"/>
  <c r="C197" i="1"/>
  <c r="C199" i="1"/>
  <c r="C201" i="1"/>
  <c r="C202" i="1"/>
  <c r="C203" i="1"/>
  <c r="C205" i="1"/>
  <c r="C206" i="1"/>
  <c r="C208" i="1"/>
  <c r="C209" i="1"/>
  <c r="C210" i="1"/>
  <c r="C211" i="1"/>
  <c r="C214" i="1"/>
  <c r="C217" i="1"/>
  <c r="C219" i="1"/>
  <c r="C220" i="1"/>
  <c r="C221" i="1"/>
  <c r="C222" i="1"/>
  <c r="C223" i="1"/>
  <c r="C224" i="1"/>
  <c r="C226" i="1"/>
  <c r="C227" i="1"/>
  <c r="C229" i="1"/>
  <c r="C230" i="1"/>
  <c r="C231" i="1"/>
  <c r="C232" i="1"/>
  <c r="C234" i="1"/>
  <c r="C236" i="1"/>
  <c r="C237" i="1"/>
  <c r="C238" i="1"/>
  <c r="C239" i="1"/>
  <c r="C244" i="1"/>
  <c r="C245" i="1"/>
  <c r="C4" i="1"/>
  <c r="C5" i="1"/>
  <c r="C6" i="1"/>
  <c r="C7" i="1"/>
  <c r="C8" i="1"/>
  <c r="C9" i="1"/>
  <c r="C2" i="1"/>
</calcChain>
</file>

<file path=xl/sharedStrings.xml><?xml version="1.0" encoding="utf-8"?>
<sst xmlns="http://schemas.openxmlformats.org/spreadsheetml/2006/main" count="740" uniqueCount="570">
  <si>
    <t>COUNTRY.ID</t>
  </si>
  <si>
    <t>COUNTRY</t>
  </si>
  <si>
    <t>G110</t>
  </si>
  <si>
    <t>Advanced Economies</t>
  </si>
  <si>
    <t>AFG</t>
  </si>
  <si>
    <t>Afghanistan, Islamic Republic of</t>
  </si>
  <si>
    <t>GX605</t>
  </si>
  <si>
    <t>Africa</t>
  </si>
  <si>
    <t>TX799</t>
  </si>
  <si>
    <t>Africa not specified</t>
  </si>
  <si>
    <t>ALB</t>
  </si>
  <si>
    <t>Albania</t>
  </si>
  <si>
    <t>DZA</t>
  </si>
  <si>
    <t>Algeria</t>
  </si>
  <si>
    <t>ASM</t>
  </si>
  <si>
    <t>American Samoa</t>
  </si>
  <si>
    <t>AGO</t>
  </si>
  <si>
    <t>Angola</t>
  </si>
  <si>
    <t>AIA</t>
  </si>
  <si>
    <t>Anguilla, United Kingdom-British Overseas Territory</t>
  </si>
  <si>
    <t>ATG</t>
  </si>
  <si>
    <t>Antigua and Barbuda</t>
  </si>
  <si>
    <t>ARG</t>
  </si>
  <si>
    <t>Argentina</t>
  </si>
  <si>
    <t>ARM</t>
  </si>
  <si>
    <t>Armenia, Republic of</t>
  </si>
  <si>
    <t>ABW</t>
  </si>
  <si>
    <t>Aruba, Kingdom of the Netherlands</t>
  </si>
  <si>
    <t>TX598</t>
  </si>
  <si>
    <t>Asia not specified</t>
  </si>
  <si>
    <t>AUS</t>
  </si>
  <si>
    <t>Australia</t>
  </si>
  <si>
    <t>AUT</t>
  </si>
  <si>
    <t>Austria</t>
  </si>
  <si>
    <t>AZE</t>
  </si>
  <si>
    <t>Azerbaijan, Republic of</t>
  </si>
  <si>
    <t>BHS</t>
  </si>
  <si>
    <t>Bahamas, The</t>
  </si>
  <si>
    <t>BHR</t>
  </si>
  <si>
    <t>Bahrain, Kingdom of</t>
  </si>
  <si>
    <t>BGD</t>
  </si>
  <si>
    <t>Bangladesh</t>
  </si>
  <si>
    <t>BRB</t>
  </si>
  <si>
    <t>Barbados</t>
  </si>
  <si>
    <t>BLR</t>
  </si>
  <si>
    <t>Belarus, Republic of</t>
  </si>
  <si>
    <t>BEL</t>
  </si>
  <si>
    <t>Belgium</t>
  </si>
  <si>
    <t>TX126</t>
  </si>
  <si>
    <t>Belgium-Luxembourg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</si>
  <si>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</si>
  <si>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</si>
  <si>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</si>
  <si>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</si>
  <si>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</si>
  <si>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</si>
  <si>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</si>
  <si>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</si>
  <si>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</si>
  <si>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</si>
  <si>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</si>
  <si>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</si>
  <si>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</si>
  <si>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</si>
  <si>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</si>
  <si>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</si>
  <si>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</si>
  <si>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</si>
  <si>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</si>
  <si>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</si>
  <si>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</si>
  <si>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</si>
  <si>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</si>
  <si>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</si>
  <si>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GX901</t>
  </si>
  <si>
    <t>CIS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</si>
  <si>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</si>
  <si>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</si>
  <si>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</si>
  <si>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</si>
  <si>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</si>
  <si>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</si>
  <si>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</si>
  <si>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</si>
  <si>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</si>
  <si>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</si>
  <si>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</si>
  <si>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</si>
  <si>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</si>
  <si>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</si>
  <si>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CHN</t>
  </si>
  <si>
    <t>China, People's Republic of</t>
  </si>
  <si>
    <t>COL</t>
  </si>
  <si>
    <t>Colombia</t>
  </si>
  <si>
    <t>COM</t>
  </si>
  <si>
    <t>Comoros, Union of the</t>
  </si>
  <si>
    <t>COD</t>
  </si>
  <si>
    <t>Congo, Democratic Republic of the</t>
  </si>
  <si>
    <t>COG</t>
  </si>
  <si>
    <t>Congo, Republic of</t>
  </si>
  <si>
    <t>CRI</t>
  </si>
  <si>
    <t>Costa Rica</t>
  </si>
  <si>
    <t>TX898</t>
  </si>
  <si>
    <t>Countries &amp; Areas not specified</t>
  </si>
  <si>
    <t>HRV</t>
  </si>
  <si>
    <t>Croatia, Republic of</t>
  </si>
  <si>
    <t>CUB</t>
  </si>
  <si>
    <t>Cuba</t>
  </si>
  <si>
    <t>CUW</t>
  </si>
  <si>
    <t>Curaçao, Kingdom of the Netherlands</t>
  </si>
  <si>
    <t>CYP</t>
  </si>
  <si>
    <t>Cyprus</t>
  </si>
  <si>
    <t>CZE</t>
  </si>
  <si>
    <t>Czech Republic</t>
  </si>
  <si>
    <t>CSK</t>
  </si>
  <si>
    <t>Czechoslovakia</t>
  </si>
  <si>
    <t>CIV</t>
  </si>
  <si>
    <t>Côte d'Ivoire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</si>
  <si>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</si>
  <si>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</si>
  <si>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</si>
  <si>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</si>
  <si>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</si>
  <si>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</si>
  <si>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</si>
  <si>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</si>
  <si>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G080</t>
  </si>
  <si>
    <t>EMDEs by Source of Export Earnings: Fuel</t>
  </si>
  <si>
    <t>G092</t>
  </si>
  <si>
    <t>EMDEs by Source of Export Earnings: Nonfuel</t>
  </si>
  <si>
    <t>ECU</t>
  </si>
  <si>
    <t>Ecuador</t>
  </si>
  <si>
    <t>EGY</t>
  </si>
  <si>
    <t>Egypt, Arab Republic of</t>
  </si>
  <si>
    <t>SLV</t>
  </si>
  <si>
    <t>El Salvador</t>
  </si>
  <si>
    <t>G200</t>
  </si>
  <si>
    <t>Emerging Market and Developing Economies</t>
  </si>
  <si>
    <t>G505</t>
  </si>
  <si>
    <t>Emerging and Developing Asia</t>
  </si>
  <si>
    <t>G903</t>
  </si>
  <si>
    <t>Emerging and Developing Europe</t>
  </si>
  <si>
    <t>GNQ</t>
  </si>
  <si>
    <t>Equatorial Guinea, Republic of</t>
  </si>
  <si>
    <t>ERI</t>
  </si>
  <si>
    <t>Eritrea, The State of</t>
  </si>
  <si>
    <t>EST</t>
  </si>
  <si>
    <t>Estonia, Republic of</t>
  </si>
  <si>
    <t>SWZ</t>
  </si>
  <si>
    <t>Eswatini, Kingdom of</t>
  </si>
  <si>
    <t>ETH</t>
  </si>
  <si>
    <t>Ethiopia, The Federal Democratic Republic of</t>
  </si>
  <si>
    <t>G163</t>
  </si>
  <si>
    <t>Euro Area (EA)</t>
  </si>
  <si>
    <t>GX170</t>
  </si>
  <si>
    <t>Europe</t>
  </si>
  <si>
    <t>TX884</t>
  </si>
  <si>
    <t>Europe not specified</t>
  </si>
  <si>
    <t>G998</t>
  </si>
  <si>
    <t>European Union (EU)</t>
  </si>
  <si>
    <t>FLK</t>
  </si>
  <si>
    <t>Falkland Islands (Malvinas)</t>
  </si>
  <si>
    <t>FRO</t>
  </si>
  <si>
    <t>Faroe Islands</t>
  </si>
  <si>
    <t>FJI</t>
  </si>
  <si>
    <t>Fiji, Republic of</t>
  </si>
  <si>
    <t>FIN</t>
  </si>
  <si>
    <t>Finland</t>
  </si>
  <si>
    <t>FRA</t>
  </si>
  <si>
    <t>France</t>
  </si>
  <si>
    <t>PYF</t>
  </si>
  <si>
    <t>French Polynesia</t>
  </si>
  <si>
    <t>GAB</t>
  </si>
  <si>
    <t>Gabon</t>
  </si>
  <si>
    <t>GMB</t>
  </si>
  <si>
    <t>Gambia, The</t>
  </si>
  <si>
    <t>GEO</t>
  </si>
  <si>
    <t>Georgia</t>
  </si>
  <si>
    <t>DDR</t>
  </si>
  <si>
    <t>German Democratic Republic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</si>
  <si>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</si>
  <si>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</si>
  <si>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</si>
  <si>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</si>
  <si>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</si>
  <si>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</si>
  <si>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</si>
  <si>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</si>
  <si>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</si>
  <si>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</si>
  <si>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</si>
  <si>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</si>
  <si>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GUM</t>
  </si>
  <si>
    <t>Guam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</si>
  <si>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</si>
  <si>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</si>
  <si>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</si>
  <si>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</si>
  <si>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</si>
  <si>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</si>
  <si>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</si>
  <si>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</si>
  <si>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</si>
  <si>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</si>
  <si>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VAT</t>
  </si>
  <si>
    <t>Holy See</t>
  </si>
  <si>
    <t>HND</t>
  </si>
  <si>
    <t>Honduras</t>
  </si>
  <si>
    <t>HKG</t>
  </si>
  <si>
    <t>Hong Kong Special Administrative Region, People's Republic of China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</si>
  <si>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</si>
  <si>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</si>
  <si>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</si>
  <si>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</si>
  <si>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</si>
  <si>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</si>
  <si>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</si>
  <si>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</si>
  <si>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</si>
  <si>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Republic of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</si>
  <si>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</si>
  <si>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</si>
  <si>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</si>
  <si>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</si>
  <si>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</si>
  <si>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</si>
  <si>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</si>
  <si>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</si>
  <si>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</si>
  <si>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</si>
  <si>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</si>
  <si>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</si>
  <si>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</si>
  <si>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</si>
  <si>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</si>
  <si>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Kazakhstan, Republic of</t>
  </si>
  <si>
    <t>KEN</t>
  </si>
  <si>
    <t>Kenya</t>
  </si>
  <si>
    <t>KIR</t>
  </si>
  <si>
    <t>Kiribati</t>
  </si>
  <si>
    <t>PRK</t>
  </si>
  <si>
    <t>Korea, Democratic People's Republic of</t>
  </si>
  <si>
    <t>KOR</t>
  </si>
  <si>
    <t>Korea, Republic of</t>
  </si>
  <si>
    <t>KOS</t>
  </si>
  <si>
    <t>Kosovo, Republic of</t>
  </si>
  <si>
    <t>KWT</t>
  </si>
  <si>
    <t>Kuwait</t>
  </si>
  <si>
    <t>KGZ</t>
  </si>
  <si>
    <t>Kyrgyz Republic</t>
  </si>
  <si>
    <t>LAO</t>
  </si>
  <si>
    <t>Lao People's Democratic Republic</t>
  </si>
  <si>
    <t>G205</t>
  </si>
  <si>
    <t>Latin America and the Caribbean (LAC)</t>
  </si>
  <si>
    <t>LVA</t>
  </si>
  <si>
    <t>Latvia, Republic of</t>
  </si>
  <si>
    <t>LBN</t>
  </si>
  <si>
    <t>Lebanon</t>
  </si>
  <si>
    <t>LSO</t>
  </si>
  <si>
    <t>Lesotho, Kingdom of</t>
  </si>
  <si>
    <t>LBR</t>
  </si>
  <si>
    <t>Liberia</t>
  </si>
  <si>
    <t>LBY</t>
  </si>
  <si>
    <t>Libya</t>
  </si>
  <si>
    <t>LTU</t>
  </si>
  <si>
    <t>Lithuania, Republic of</t>
  </si>
  <si>
    <t>LUX</t>
  </si>
  <si>
    <t>Luxembourg</t>
  </si>
  <si>
    <t>MAC</t>
  </si>
  <si>
    <t>Macao Special Administrative Region, People's Republic of China</t>
  </si>
  <si>
    <t>MDG</t>
  </si>
  <si>
    <t>Madagascar, Republic of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</si>
  <si>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</si>
  <si>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</si>
  <si>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</si>
  <si>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</si>
  <si>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</si>
  <si>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</si>
  <si>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</si>
  <si>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</si>
  <si>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</si>
  <si>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</si>
  <si>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</si>
  <si>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Islands, Republic of the</t>
  </si>
  <si>
    <t>MRT</t>
  </si>
  <si>
    <t>Mauritania, Islamic Republic of</t>
  </si>
  <si>
    <t>MUS</t>
  </si>
  <si>
    <t>Mauritius</t>
  </si>
  <si>
    <t>MEX</t>
  </si>
  <si>
    <t>Mexico</t>
  </si>
  <si>
    <t>FSM</t>
  </si>
  <si>
    <t>Micronesia, Federated States of</t>
  </si>
  <si>
    <t>GX405</t>
  </si>
  <si>
    <t>Middle East</t>
  </si>
  <si>
    <t>G400</t>
  </si>
  <si>
    <t>Middle East and Central Asia</t>
  </si>
  <si>
    <t>TX489</t>
  </si>
  <si>
    <t>Middle East and Central Asia not specified</t>
  </si>
  <si>
    <t>GX440</t>
  </si>
  <si>
    <t>Middle East, North Africa, Afghanistan, and Pakistan</t>
  </si>
  <si>
    <t>MDA</t>
  </si>
  <si>
    <t>Moldova, Republic of</t>
  </si>
  <si>
    <t>MNG</t>
  </si>
  <si>
    <t>Mongolia</t>
  </si>
  <si>
    <t>MNE</t>
  </si>
  <si>
    <t>Montenegro</t>
  </si>
  <si>
    <t>MSR</t>
  </si>
  <si>
    <t>Montserrat, United Kingdom-British Overseas Territory</t>
  </si>
  <si>
    <t>MAR</t>
  </si>
  <si>
    <t>Morocco</t>
  </si>
  <si>
    <t>MOZ</t>
  </si>
  <si>
    <t>Mozambique, Republic of</t>
  </si>
  <si>
    <t>MMR</t>
  </si>
  <si>
    <t>Myanmar</t>
  </si>
  <si>
    <t>NAM</t>
  </si>
  <si>
    <t>Namibia</t>
  </si>
  <si>
    <t>NRU</t>
  </si>
  <si>
    <t>Naoero, Republic of</t>
  </si>
  <si>
    <t>NPL</t>
  </si>
  <si>
    <t>Nepal</t>
  </si>
  <si>
    <t>ANT</t>
  </si>
  <si>
    <t>Netherlands Antilles</t>
  </si>
  <si>
    <t>NLD</t>
  </si>
  <si>
    <t>Netherlands, The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</si>
  <si>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</si>
  <si>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</si>
  <si>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</si>
  <si>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</si>
  <si>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</si>
  <si>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</si>
  <si>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</si>
  <si>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</si>
  <si>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</si>
  <si>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</si>
  <si>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</si>
  <si>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Macedonia, Republic of</t>
  </si>
  <si>
    <t>NOR</t>
  </si>
  <si>
    <t>Norway</t>
  </si>
  <si>
    <t>OMN</t>
  </si>
  <si>
    <t>Oman</t>
  </si>
  <si>
    <t>TX910</t>
  </si>
  <si>
    <t>Other Countries n.i.e.</t>
  </si>
  <si>
    <t>PAK</t>
  </si>
  <si>
    <t>Pakistan</t>
  </si>
  <si>
    <t>PLW</t>
  </si>
  <si>
    <t>Palau, Republic of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</si>
  <si>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</si>
  <si>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</si>
  <si>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</si>
  <si>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</si>
  <si>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</si>
  <si>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</si>
  <si>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</si>
  <si>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</si>
  <si>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</si>
  <si>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</si>
  <si>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</si>
  <si>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Poland, Republic of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</si>
  <si>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</si>
  <si>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</si>
  <si>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</si>
  <si>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</si>
  <si>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</si>
  <si>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</si>
  <si>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</si>
  <si>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</si>
  <si>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</si>
  <si>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</si>
  <si>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</si>
  <si>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</si>
  <si>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SMR</t>
  </si>
  <si>
    <t>San Marino, Republic of</t>
  </si>
  <si>
    <t>SAU</t>
  </si>
  <si>
    <t>Saudi Arabia</t>
  </si>
  <si>
    <t>SEN</t>
  </si>
  <si>
    <t>Senegal</t>
  </si>
  <si>
    <t>SCG</t>
  </si>
  <si>
    <t>Serbia and Montenegro</t>
  </si>
  <si>
    <t>SRB</t>
  </si>
  <si>
    <t>Serbia, Republic of</t>
  </si>
  <si>
    <t>SYC</t>
  </si>
  <si>
    <t>Seychelles</t>
  </si>
  <si>
    <t>SLE</t>
  </si>
  <si>
    <t>Sierra Leone</t>
  </si>
  <si>
    <t>SGP</t>
  </si>
  <si>
    <t>Singapore</t>
  </si>
  <si>
    <t>SXM</t>
  </si>
  <si>
    <t>Sint Maarten, Kingdom of the Netherlands</t>
  </si>
  <si>
    <t>SVK</t>
  </si>
  <si>
    <t>Slovak Republic</t>
  </si>
  <si>
    <t>SVN</t>
  </si>
  <si>
    <t>Slovenia, Republic of</t>
  </si>
  <si>
    <t>SLB</t>
  </si>
  <si>
    <t>Solomon Islands</t>
  </si>
  <si>
    <t>SOM</t>
  </si>
  <si>
    <t>Somalia</t>
  </si>
  <si>
    <t>ZAF</t>
  </si>
  <si>
    <t>South Africa</t>
  </si>
  <si>
    <t>SSD</t>
  </si>
  <si>
    <t>South Sudan, Republic of</t>
  </si>
  <si>
    <t>ESP</t>
  </si>
  <si>
    <t>Spain</t>
  </si>
  <si>
    <t>TX899</t>
  </si>
  <si>
    <t>Special Categories</t>
  </si>
  <si>
    <t>LKA</t>
  </si>
  <si>
    <t>Sri Lanka</t>
  </si>
  <si>
    <t>KNA</t>
  </si>
  <si>
    <t>St. Kitts and Nevis</t>
  </si>
  <si>
    <t>LCA</t>
  </si>
  <si>
    <t>St. Lucia</t>
  </si>
  <si>
    <t>VCT</t>
  </si>
  <si>
    <t>St. Vincent and the Grenadines</t>
  </si>
  <si>
    <t>G603</t>
  </si>
  <si>
    <t>Sub-Saharan Africa (SSA)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</si>
  <si>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</si>
  <si>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</si>
  <si>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</si>
  <si>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</si>
  <si>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</si>
  <si>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</si>
  <si>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</si>
  <si>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</si>
  <si>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</si>
  <si>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</si>
  <si>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STP</t>
  </si>
  <si>
    <t>São Tomé and Príncipe, Democratic Republic of</t>
  </si>
  <si>
    <t>TWN</t>
  </si>
  <si>
    <t>Taiwan Province of China</t>
  </si>
  <si>
    <t>TJK</t>
  </si>
  <si>
    <t>Tajikistan, Republic of</t>
  </si>
  <si>
    <t>TZA</t>
  </si>
  <si>
    <t>Tanzania, United Republic of</t>
  </si>
  <si>
    <t>THA</t>
  </si>
  <si>
    <t>Thailand</t>
  </si>
  <si>
    <t>TLS</t>
  </si>
  <si>
    <t>Timor-Leste, Democratic Republic of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</si>
  <si>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</si>
  <si>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</si>
  <si>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</si>
  <si>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</si>
  <si>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</si>
  <si>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</si>
  <si>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</si>
  <si>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</si>
  <si>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TKM</t>
  </si>
  <si>
    <t>Turkmenistan</t>
  </si>
  <si>
    <t>TUV</t>
  </si>
  <si>
    <t>Tuvalu</t>
  </si>
  <si>
    <t>TUR</t>
  </si>
  <si>
    <t>Türkiye, Republic of</t>
  </si>
  <si>
    <t>UGA</t>
  </si>
  <si>
    <t>Uganda</t>
  </si>
  <si>
    <t>UKR</t>
  </si>
  <si>
    <t>Ukraine</t>
  </si>
  <si>
    <t>SUN</t>
  </si>
  <si>
    <t>Union of Soviet Socialist Republics (USSR)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</si>
  <si>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</si>
  <si>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</si>
  <si>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</si>
  <si>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</si>
  <si>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</si>
  <si>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</si>
  <si>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</si>
  <si>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</si>
  <si>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</si>
  <si>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Uzbekistan, Republic of</t>
  </si>
  <si>
    <t>VUT</t>
  </si>
  <si>
    <t>Vanuatu</t>
  </si>
  <si>
    <t>VEN</t>
  </si>
  <si>
    <t>Venezuela, República Bolivariana de</t>
  </si>
  <si>
    <t>VNM</t>
  </si>
  <si>
    <t>Vietnam</t>
  </si>
  <si>
    <t>WBG</t>
  </si>
  <si>
    <t>West Bank and Gaza</t>
  </si>
  <si>
    <t>TX399</t>
  </si>
  <si>
    <t>Western Hemisphere not specified</t>
  </si>
  <si>
    <t>G001</t>
  </si>
  <si>
    <t>World</t>
  </si>
  <si>
    <t>YAR</t>
  </si>
  <si>
    <t>Yemen Arab Republic</t>
  </si>
  <si>
    <t>YMD</t>
  </si>
  <si>
    <t>Yemen, People's Democratic Republic of</t>
  </si>
  <si>
    <t>YEM</t>
  </si>
  <si>
    <t>Yemen, Republic of</t>
  </si>
  <si>
    <t>YUG</t>
  </si>
  <si>
    <t>Yugoslavia, Socialist Federal Republic of</t>
  </si>
  <si>
    <t>ZMB</t>
  </si>
  <si>
    <t>Zambia</t>
  </si>
  <si>
    <t>ZWE</t>
  </si>
  <si>
    <t>Zimbabwe</t>
  </si>
  <si>
    <t>GPH</t>
  </si>
  <si>
    <t>Armenia, Rep. of</t>
  </si>
  <si>
    <t>Country.Name</t>
  </si>
  <si>
    <t>Afghanistan, Islamic Rep. of</t>
  </si>
  <si>
    <t>Africa not specified</t>
  </si>
  <si>
    <t>Anguilla</t>
  </si>
  <si>
    <t>Asia not specified</t>
  </si>
  <si>
    <t>Azerbaijan, Rep. of</t>
  </si>
  <si>
    <t>Belarus, Rep. of</t>
  </si>
  <si>
    <t>Central African Rep.</t>
  </si>
  <si>
    <t>China, P.R.: Hong Kong</t>
  </si>
  <si>
    <t>China, P.R.: Macao</t>
  </si>
  <si>
    <t>China, P.R.: Mainland</t>
  </si>
  <si>
    <t>Congo, Dem. Rep. of the</t>
  </si>
  <si>
    <t>Congo, Rep. of</t>
  </si>
  <si>
    <t>Countries &amp; Areas not specified</t>
  </si>
  <si>
    <t>Croatia, Rep. of</t>
  </si>
  <si>
    <t>Curaçao, Kingdom of the Netherlands</t>
  </si>
  <si>
    <t>Czech Rep.</t>
  </si>
  <si>
    <t>Dominican Rep.</t>
  </si>
  <si>
    <t>Eastern Germany</t>
  </si>
  <si>
    <t>Egypt, Arab Rep. of</t>
  </si>
  <si>
    <t>Emerging and Developing Economies</t>
  </si>
  <si>
    <t>Emerging Market and Developing Economies by Source of Export Earnings: Fuel</t>
  </si>
  <si>
    <t>Emerging Market and Developing Economies by Source of Export Earnings: Nonfuel</t>
  </si>
  <si>
    <t>Equatorial Guinea, Rep. of</t>
  </si>
  <si>
    <t>Estonia, Rep. of</t>
  </si>
  <si>
    <t>Ethiopia, The Federal Dem. Rep. of</t>
  </si>
  <si>
    <t>Euro Area</t>
  </si>
  <si>
    <t>Europe not specified</t>
  </si>
  <si>
    <t>European Union</t>
  </si>
  <si>
    <t>Fiji, Rep. of</t>
  </si>
  <si>
    <t>Iran, Islamic Rep. of</t>
  </si>
  <si>
    <t>Kazakhstan, Rep. of</t>
  </si>
  <si>
    <t>Korea, Dem. People's Rep. of</t>
  </si>
  <si>
    <t>Korea, Rep. of</t>
  </si>
  <si>
    <t>Kosovo, Rep. of</t>
  </si>
  <si>
    <t>Kyrgyz Rep.</t>
  </si>
  <si>
    <t>Lao People's Dem. Rep.</t>
  </si>
  <si>
    <t>Latvia</t>
  </si>
  <si>
    <t>Lithuania</t>
  </si>
  <si>
    <t>Madagascar, Rep. of</t>
  </si>
  <si>
    <t>Malaysia, West</t>
  </si>
  <si>
    <t>Marshall Islands, Rep. of the</t>
  </si>
  <si>
    <t>Mauritania, Islamic Rep. of</t>
  </si>
  <si>
    <t>Middle East and Central Asia not specified</t>
  </si>
  <si>
    <t>Moldova, Rep. of</t>
  </si>
  <si>
    <t>Montserrat</t>
  </si>
  <si>
    <t>Mozambique, Rep. of</t>
  </si>
  <si>
    <t>Nauru, Rep. of</t>
  </si>
  <si>
    <t>Other Countries not included elsewhere</t>
  </si>
  <si>
    <t>Palau, Rep. of</t>
  </si>
  <si>
    <t>Poland, Rep. of</t>
  </si>
  <si>
    <t>San Marino, Rep. of</t>
  </si>
  <si>
    <t>São Tomé and Príncipe, Dem. Rep. Of</t>
  </si>
  <si>
    <t>Serbia, Rep. of</t>
  </si>
  <si>
    <t>Slovak Rep.</t>
  </si>
  <si>
    <t>Slovenia, Rep. of</t>
  </si>
  <si>
    <t>South African Common Customs Area (SACCA)</t>
  </si>
  <si>
    <t>South Sudan, Rep. of</t>
  </si>
  <si>
    <t>Special Categories</t>
  </si>
  <si>
    <t>Sub-Saharan Africa</t>
  </si>
  <si>
    <t>Syrian Arab Rep.</t>
  </si>
  <si>
    <t>Taiwan Province of China</t>
  </si>
  <si>
    <t>Tajikistan, Rep. of</t>
  </si>
  <si>
    <t>Tanzania, United Rep. of</t>
  </si>
  <si>
    <t>Timor-Leste, Dem. Rep. of</t>
  </si>
  <si>
    <t>Türkiye, Rep of</t>
  </si>
  <si>
    <t>USSR</t>
  </si>
  <si>
    <t>Uzbekistan, Rep. of</t>
  </si>
  <si>
    <t>Venezuela, Rep. Bolivariana de</t>
  </si>
  <si>
    <t>Western Hemisphere</t>
  </si>
  <si>
    <t>Western Hemisphere not specified</t>
  </si>
  <si>
    <t>Yemen Arab Rep.</t>
  </si>
  <si>
    <t>Yemen, People's Dem. Rep. of</t>
  </si>
  <si>
    <t>Yemen, Rep. of</t>
  </si>
  <si>
    <t>Yugoslavia</t>
  </si>
  <si>
    <t>Legend:</t>
  </si>
  <si>
    <t>OK</t>
  </si>
  <si>
    <t>Two entities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</si>
</sst>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Lucida Grande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8"/>
  <sheetViews>
    <sheetView tabSelected="1" topLeftCell="A41" workbookViewId="0">
      <selection activeCell="C16" sqref="C16"/>
    </sheetView>
  </sheetViews>
  <sheetFormatPr baseColWidth="10" defaultRowHeight="15" x14ac:dyDescent="0.2"/>
  <cols>
    <col min="2" max="2" width="53.83203125" bestFit="1" customWidth="1"/>
    <col min="4" max="4" width="28" bestFit="1" customWidth="1"/>
  </cols>
  <sheetData>
    <row r="1" spans="1:6" x14ac:dyDescent="0.2">
      <c r="A1" t="s">
        <v>0</v>
      </c>
      <c r="B1" t="s">
        <v>1</v>
      </c>
      <c r="C1" t="s">
        <v>490</v>
      </c>
    </row>
    <row r="2" spans="1:6" x14ac:dyDescent="0.2">
      <c r="A2" t="s">
        <v>2</v>
      </c>
      <c r="B2" t="s">
        <v>3</v>
      </c>
      <c r="C2" t="str">
        <f>IFERROR(IF(VLOOKUP(B2,Old!$A:$B,2,FALSE)="","",VLOOKUP(B2,Old!$A:$B,2,FALSE)),"Non trouvé")</f>
        <v/>
      </c>
    </row>
    <row r="3" spans="1:6" x14ac:dyDescent="0.2">
      <c r="A3" t="s">
        <v>4</v>
      </c>
      <c r="B3" t="s">
        <v>5</v>
      </c>
      <c r="C3" s="6">
        <v>700</v>
      </c>
      <c r="E3" t="s">
        <v>567</v>
      </c>
      <c r="F3" s="4" t="s">
        <v>568</v>
      </c>
    </row>
    <row r="4" spans="1:6" x14ac:dyDescent="0.2">
      <c r="A4" t="s">
        <v>6</v>
      </c>
      <c r="B4" t="s">
        <v>7</v>
      </c>
      <c r="C4" t="str">
        <f>IFERROR(IF(VLOOKUP(B4,Old!$A:$B,2,FALSE)="","",VLOOKUP(B4,Old!$A:$B,2,FALSE)),"Non trouvé")</f>
        <v/>
      </c>
      <c r="F4" s="3" t="s">
        <v>569</v>
      </c>
    </row>
    <row r="5" spans="1:6" x14ac:dyDescent="0.2">
      <c r="A5" t="s">
        <v>8</v>
      </c>
      <c r="B5" t="s">
        <v>9</v>
      </c>
      <c r="C5" t="str">
        <f>IFERROR(IF(VLOOKUP(B5,Old!$A:$B,2,FALSE)="","",VLOOKUP(B5,Old!$A:$B,2,FALSE)),"Non trouvé")</f>
        <v/>
      </c>
    </row>
    <row r="6" spans="1:6" x14ac:dyDescent="0.2">
      <c r="A6" t="s">
        <v>10</v>
      </c>
      <c r="B6" t="s">
        <v>11</v>
      </c>
      <c r="C6" s="4">
        <f>IFERROR(IF(VLOOKUP(B6,Old!$A:$B,2,FALSE)="","",VLOOKUP(B6,Old!$A:$B,2,FALSE)),"Non trouvé")</f>
        <v>339</v>
      </c>
    </row>
    <row r="7" spans="1:6" x14ac:dyDescent="0.2">
      <c r="A7" t="s">
        <v>12</v>
      </c>
      <c r="B7" t="s">
        <v>13</v>
      </c>
      <c r="C7" s="4">
        <f>IFERROR(IF(VLOOKUP(B7,Old!$A:$B,2,FALSE)="","",VLOOKUP(B7,Old!$A:$B,2,FALSE)),"Non trouvé")</f>
        <v>615</v>
      </c>
    </row>
    <row r="8" spans="1:6" x14ac:dyDescent="0.2">
      <c r="A8" t="s">
        <v>14</v>
      </c>
      <c r="B8" t="s">
        <v>15</v>
      </c>
      <c r="C8" s="4">
        <f>IFERROR(IF(VLOOKUP(B8,Old!$A:$B,2,FALSE)="","",VLOOKUP(B8,Old!$A:$B,2,FALSE)),"Non trouvé")</f>
        <v>991</v>
      </c>
    </row>
    <row r="9" spans="1:6" x14ac:dyDescent="0.2">
      <c r="A9" t="s">
        <v>16</v>
      </c>
      <c r="B9" t="s">
        <v>17</v>
      </c>
      <c r="C9" s="4">
        <f>IFERROR(IF(VLOOKUP(B9,Old!$A:$B,2,FALSE)="","",VLOOKUP(B9,Old!$A:$B,2,FALSE)),"Non trouvé")</f>
        <v>540</v>
      </c>
    </row>
    <row r="10" spans="1:6" x14ac:dyDescent="0.2">
      <c r="A10" t="s">
        <v>18</v>
      </c>
      <c r="B10" t="s">
        <v>19</v>
      </c>
      <c r="C10" s="4">
        <v>1062</v>
      </c>
    </row>
    <row r="11" spans="1:6" x14ac:dyDescent="0.2">
      <c r="A11" t="s">
        <v>20</v>
      </c>
      <c r="B11" t="s">
        <v>21</v>
      </c>
      <c r="C11" s="4">
        <f>IFERROR(IF(VLOOKUP(B11,Old!$A:$B,2,FALSE)="","",VLOOKUP(B11,Old!$A:$B,2,FALSE)),"Non trouvé")</f>
        <v>58</v>
      </c>
    </row>
    <row r="12" spans="1:6" x14ac:dyDescent="0.2">
      <c r="A12" t="s">
        <v>22</v>
      </c>
      <c r="B12" t="s">
        <v>23</v>
      </c>
      <c r="C12" s="4">
        <f>IFERROR(IF(VLOOKUP(B12,Old!$A:$B,2,FALSE)="","",VLOOKUP(B12,Old!$A:$B,2,FALSE)),"Non trouvé")</f>
        <v>160</v>
      </c>
    </row>
    <row r="13" spans="1:6" x14ac:dyDescent="0.2">
      <c r="A13" t="s">
        <v>24</v>
      </c>
      <c r="B13" t="s">
        <v>25</v>
      </c>
      <c r="C13" s="4">
        <v>371</v>
      </c>
    </row>
    <row r="14" spans="1:6" x14ac:dyDescent="0.2">
      <c r="A14" t="s">
        <v>26</v>
      </c>
      <c r="B14" t="s">
        <v>27</v>
      </c>
      <c r="C14" s="4">
        <f>IFERROR(IF(VLOOKUP(B14,Old!$A:$B,2,FALSE)="","",VLOOKUP(B14,Old!$A:$B,2,FALSE)),"Non trouvé")</f>
        <v>1069</v>
      </c>
    </row>
    <row r="15" spans="1:6" x14ac:dyDescent="0.2">
      <c r="A15" t="s">
        <v>28</v>
      </c>
      <c r="B15" t="s">
        <v>29</v>
      </c>
      <c r="C15" t="str">
        <f>IFERROR(IF(VLOOKUP(B15,Old!$A:$B,2,FALSE)="","",VLOOKUP(B15,Old!$A:$B,2,FALSE)),"Non trouvé")</f>
        <v/>
      </c>
    </row>
    <row r="16" spans="1:6" x14ac:dyDescent="0.2">
      <c r="A16" t="s">
        <v>30</v>
      </c>
      <c r="B16" t="s">
        <v>31</v>
      </c>
      <c r="C16" s="4">
        <f>IFERROR(IF(VLOOKUP(B16,Old!$A:$B,2,FALSE)="","",VLOOKUP(B16,Old!$A:$B,2,FALSE)),"Non trouvé")</f>
        <v>900</v>
      </c>
    </row>
    <row r="17" spans="1:3" x14ac:dyDescent="0.2">
      <c r="A17" t="s">
        <v>32</v>
      </c>
      <c r="B17" t="s">
        <v>33</v>
      </c>
      <c r="C17" s="4">
        <f>IFERROR(IF(VLOOKUP(B17,Old!$A:$B,2,FALSE)="","",VLOOKUP(B17,Old!$A:$B,2,FALSE)),"Non trouvé")</f>
        <v>305</v>
      </c>
    </row>
    <row r="18" spans="1:3" x14ac:dyDescent="0.2">
      <c r="A18" t="s">
        <v>34</v>
      </c>
      <c r="B18" t="s">
        <v>35</v>
      </c>
      <c r="C18" s="4">
        <v>373</v>
      </c>
    </row>
    <row r="19" spans="1:3" x14ac:dyDescent="0.2">
      <c r="A19" t="s">
        <v>36</v>
      </c>
      <c r="B19" t="s">
        <v>37</v>
      </c>
      <c r="C19" s="4">
        <f>IFERROR(IF(VLOOKUP(B19,Old!$A:$B,2,FALSE)="","",VLOOKUP(B19,Old!$A:$B,2,FALSE)),"Non trouvé")</f>
        <v>31</v>
      </c>
    </row>
    <row r="20" spans="1:3" x14ac:dyDescent="0.2">
      <c r="A20" t="s">
        <v>38</v>
      </c>
      <c r="B20" t="s">
        <v>39</v>
      </c>
      <c r="C20" s="4">
        <f>IFERROR(IF(VLOOKUP(B20,Old!$A:$B,2,FALSE)="","",VLOOKUP(B20,Old!$A:$B,2,FALSE)),"Non trouvé")</f>
        <v>692</v>
      </c>
    </row>
    <row r="21" spans="1:3" x14ac:dyDescent="0.2">
      <c r="A21" t="s">
        <v>40</v>
      </c>
      <c r="B21" t="s">
        <v>41</v>
      </c>
      <c r="C21" s="4">
        <f>IFERROR(IF(VLOOKUP(B21,Old!$A:$B,2,FALSE)="","",VLOOKUP(B21,Old!$A:$B,2,FALSE)),"Non trouvé")</f>
        <v>771</v>
      </c>
    </row>
    <row r="22" spans="1:3" x14ac:dyDescent="0.2">
      <c r="A22" t="s">
        <v>42</v>
      </c>
      <c r="B22" t="s">
        <v>43</v>
      </c>
      <c r="C22" s="4">
        <f>IFERROR(IF(VLOOKUP(B22,Old!$A:$B,2,FALSE)="","",VLOOKUP(B22,Old!$A:$B,2,FALSE)),"Non trouvé")</f>
        <v>53</v>
      </c>
    </row>
    <row r="23" spans="1:3" x14ac:dyDescent="0.2">
      <c r="A23" t="s">
        <v>44</v>
      </c>
      <c r="B23" t="s">
        <v>45</v>
      </c>
      <c r="C23" s="4">
        <v>370</v>
      </c>
    </row>
    <row r="24" spans="1:3" x14ac:dyDescent="0.2">
      <c r="A24" t="s">
        <v>46</v>
      </c>
      <c r="B24" t="s">
        <v>47</v>
      </c>
      <c r="C24" s="4">
        <f>IFERROR(IF(VLOOKUP(B24,Old!$A:$B,2,FALSE)="","",VLOOKUP(B24,Old!$A:$B,2,FALSE)),"Non trouvé")</f>
        <v>211</v>
      </c>
    </row>
    <row r="25" spans="1:3" x14ac:dyDescent="0.2">
      <c r="A25" t="s">
        <v>48</v>
      </c>
      <c r="B25" t="s">
        <v>49</v>
      </c>
      <c r="C25" t="str">
        <f>IFERROR(IF(VLOOKUP(B25,Old!$A:$B,2,FALSE)="","",VLOOKUP(B25,Old!$A:$B,2,FALSE)),"Non trouvé")</f>
        <v/>
      </c>
    </row>
    <row r="26" spans="1:3" x14ac:dyDescent="0.2">
      <c r="A26" t="s">
        <v>50</v>
      </c>
      <c r="B26" t="s">
        <v>51</v>
      </c>
      <c r="C26" s="4">
        <f>IFERROR(IF(VLOOKUP(B26,Old!$A:$B,2,FALSE)="","",VLOOKUP(B26,Old!$A:$B,2,FALSE)),"Non trouvé")</f>
        <v>80</v>
      </c>
    </row>
    <row r="27" spans="1:3" x14ac:dyDescent="0.2">
      <c r="A27" t="s">
        <v>52</v>
      </c>
      <c r="B27" t="s">
        <v>53</v>
      </c>
      <c r="C27" s="4">
        <f>IFERROR(IF(VLOOKUP(B27,Old!$A:$B,2,FALSE)="","",VLOOKUP(B27,Old!$A:$B,2,FALSE)),"Non trouvé")</f>
        <v>434</v>
      </c>
    </row>
    <row r="28" spans="1:3" x14ac:dyDescent="0.2">
      <c r="A28" t="s">
        <v>54</v>
      </c>
      <c r="B28" t="s">
        <v>55</v>
      </c>
      <c r="C28" s="4">
        <f>IFERROR(IF(VLOOKUP(B28,Old!$A:$B,2,FALSE)="","",VLOOKUP(B28,Old!$A:$B,2,FALSE)),"Non trouvé")</f>
        <v>30</v>
      </c>
    </row>
    <row r="29" spans="1:3" x14ac:dyDescent="0.2">
      <c r="A29" t="s">
        <v>56</v>
      </c>
      <c r="B29" t="s">
        <v>57</v>
      </c>
      <c r="C29" s="4">
        <f>IFERROR(IF(VLOOKUP(B29,Old!$A:$B,2,FALSE)="","",VLOOKUP(B29,Old!$A:$B,2,FALSE)),"Non trouvé")</f>
        <v>760</v>
      </c>
    </row>
    <row r="30" spans="1:3" x14ac:dyDescent="0.2">
      <c r="A30" t="s">
        <v>58</v>
      </c>
      <c r="B30" t="s">
        <v>59</v>
      </c>
      <c r="C30" s="4">
        <f>IFERROR(IF(VLOOKUP(B30,Old!$A:$B,2,FALSE)="","",VLOOKUP(B30,Old!$A:$B,2,FALSE)),"Non trouvé")</f>
        <v>145</v>
      </c>
    </row>
    <row r="31" spans="1:3" x14ac:dyDescent="0.2">
      <c r="A31" t="s">
        <v>60</v>
      </c>
      <c r="B31" t="s">
        <v>61</v>
      </c>
      <c r="C31" s="4">
        <f>IFERROR(IF(VLOOKUP(B31,Old!$A:$B,2,FALSE)="","",VLOOKUP(B31,Old!$A:$B,2,FALSE)),"Non trouvé")</f>
        <v>346</v>
      </c>
    </row>
    <row r="32" spans="1:3" x14ac:dyDescent="0.2">
      <c r="A32" t="s">
        <v>62</v>
      </c>
      <c r="B32" t="s">
        <v>63</v>
      </c>
      <c r="C32" s="4">
        <f>IFERROR(IF(VLOOKUP(B32,Old!$A:$B,2,FALSE)="","",VLOOKUP(B32,Old!$A:$B,2,FALSE)),"Non trouvé")</f>
        <v>571</v>
      </c>
    </row>
    <row r="33" spans="1:3" x14ac:dyDescent="0.2">
      <c r="A33" t="s">
        <v>64</v>
      </c>
      <c r="B33" t="s">
        <v>65</v>
      </c>
      <c r="C33" s="4">
        <f>IFERROR(IF(VLOOKUP(B33,Old!$A:$B,2,FALSE)="","",VLOOKUP(B33,Old!$A:$B,2,FALSE)),"Non trouvé")</f>
        <v>140</v>
      </c>
    </row>
    <row r="34" spans="1:3" x14ac:dyDescent="0.2">
      <c r="A34" t="s">
        <v>66</v>
      </c>
      <c r="B34" t="s">
        <v>67</v>
      </c>
      <c r="C34" s="4">
        <f>IFERROR(IF(VLOOKUP(B34,Old!$A:$B,2,FALSE)="","",VLOOKUP(B34,Old!$A:$B,2,FALSE)),"Non trouvé")</f>
        <v>835</v>
      </c>
    </row>
    <row r="35" spans="1:3" x14ac:dyDescent="0.2">
      <c r="A35" t="s">
        <v>68</v>
      </c>
      <c r="B35" t="s">
        <v>69</v>
      </c>
      <c r="C35" s="4">
        <f>IFERROR(IF(VLOOKUP(B35,Old!$A:$B,2,FALSE)="","",VLOOKUP(B35,Old!$A:$B,2,FALSE)),"Non trouvé")</f>
        <v>355</v>
      </c>
    </row>
    <row r="36" spans="1:3" x14ac:dyDescent="0.2">
      <c r="A36" t="s">
        <v>70</v>
      </c>
      <c r="B36" t="s">
        <v>71</v>
      </c>
      <c r="C36" s="4">
        <f>IFERROR(IF(VLOOKUP(B36,Old!$A:$B,2,FALSE)="","",VLOOKUP(B36,Old!$A:$B,2,FALSE)),"Non trouvé")</f>
        <v>439</v>
      </c>
    </row>
    <row r="37" spans="1:3" x14ac:dyDescent="0.2">
      <c r="A37" t="s">
        <v>72</v>
      </c>
      <c r="B37" t="s">
        <v>73</v>
      </c>
      <c r="C37" s="4">
        <f>IFERROR(IF(VLOOKUP(B37,Old!$A:$B,2,FALSE)="","",VLOOKUP(B37,Old!$A:$B,2,FALSE)),"Non trouvé")</f>
        <v>516</v>
      </c>
    </row>
    <row r="38" spans="1:3" x14ac:dyDescent="0.2">
      <c r="A38" t="s">
        <v>74</v>
      </c>
      <c r="B38" t="s">
        <v>75</v>
      </c>
      <c r="C38" t="str">
        <f>IFERROR(IF(VLOOKUP(B38,Old!$A:$B,2,FALSE)="","",VLOOKUP(B38,Old!$A:$B,2,FALSE)),"Non trouvé")</f>
        <v/>
      </c>
    </row>
    <row r="39" spans="1:3" x14ac:dyDescent="0.2">
      <c r="A39" t="s">
        <v>76</v>
      </c>
      <c r="B39" t="s">
        <v>77</v>
      </c>
      <c r="C39" s="4">
        <f>IFERROR(IF(VLOOKUP(B39,Old!$A:$B,2,FALSE)="","",VLOOKUP(B39,Old!$A:$B,2,FALSE)),"Non trouvé")</f>
        <v>402</v>
      </c>
    </row>
    <row r="40" spans="1:3" x14ac:dyDescent="0.2">
      <c r="A40" t="s">
        <v>78</v>
      </c>
      <c r="B40" t="s">
        <v>79</v>
      </c>
      <c r="C40" s="4">
        <f>IFERROR(IF(VLOOKUP(B40,Old!$A:$B,2,FALSE)="","",VLOOKUP(B40,Old!$A:$B,2,FALSE)),"Non trouvé")</f>
        <v>811</v>
      </c>
    </row>
    <row r="41" spans="1:3" x14ac:dyDescent="0.2">
      <c r="A41" t="s">
        <v>80</v>
      </c>
      <c r="B41" t="s">
        <v>81</v>
      </c>
      <c r="C41" s="4">
        <f>IFERROR(IF(VLOOKUP(B41,Old!$A:$B,2,FALSE)="","",VLOOKUP(B41,Old!$A:$B,2,FALSE)),"Non trouvé")</f>
        <v>471</v>
      </c>
    </row>
    <row r="42" spans="1:3" x14ac:dyDescent="0.2">
      <c r="A42" t="s">
        <v>82</v>
      </c>
      <c r="B42" t="s">
        <v>83</v>
      </c>
      <c r="C42" s="4">
        <f>IFERROR(IF(VLOOKUP(B42,Old!$A:$B,2,FALSE)="","",VLOOKUP(B42,Old!$A:$B,2,FALSE)),"Non trouvé")</f>
        <v>20</v>
      </c>
    </row>
    <row r="43" spans="1:3" x14ac:dyDescent="0.2">
      <c r="A43" t="s">
        <v>84</v>
      </c>
      <c r="B43" t="s">
        <v>85</v>
      </c>
      <c r="C43" s="4">
        <v>482</v>
      </c>
    </row>
    <row r="44" spans="1:3" x14ac:dyDescent="0.2">
      <c r="A44" t="s">
        <v>86</v>
      </c>
      <c r="B44" t="s">
        <v>87</v>
      </c>
      <c r="C44" s="4">
        <f>IFERROR(IF(VLOOKUP(B44,Old!$A:$B,2,FALSE)="","",VLOOKUP(B44,Old!$A:$B,2,FALSE)),"Non trouvé")</f>
        <v>483</v>
      </c>
    </row>
    <row r="45" spans="1:3" x14ac:dyDescent="0.2">
      <c r="A45" t="s">
        <v>88</v>
      </c>
      <c r="B45" t="s">
        <v>89</v>
      </c>
      <c r="C45" s="4">
        <f>IFERROR(IF(VLOOKUP(B45,Old!$A:$B,2,FALSE)="","",VLOOKUP(B45,Old!$A:$B,2,FALSE)),"Non trouvé")</f>
        <v>155</v>
      </c>
    </row>
    <row r="46" spans="1:3" x14ac:dyDescent="0.2">
      <c r="A46" t="s">
        <v>90</v>
      </c>
      <c r="B46" t="s">
        <v>91</v>
      </c>
      <c r="C46" s="4">
        <v>710</v>
      </c>
    </row>
    <row r="47" spans="1:3" x14ac:dyDescent="0.2">
      <c r="A47" t="s">
        <v>92</v>
      </c>
      <c r="B47" t="s">
        <v>93</v>
      </c>
      <c r="C47" s="4">
        <f>IFERROR(IF(VLOOKUP(B47,Old!$A:$B,2,FALSE)="","",VLOOKUP(B47,Old!$A:$B,2,FALSE)),"Non trouvé")</f>
        <v>100</v>
      </c>
    </row>
    <row r="48" spans="1:3" x14ac:dyDescent="0.2">
      <c r="A48" t="s">
        <v>94</v>
      </c>
      <c r="B48" t="s">
        <v>95</v>
      </c>
      <c r="C48" s="4">
        <f>IFERROR(IF(VLOOKUP(B48,Old!$A:$B,2,FALSE)="","",VLOOKUP(B48,Old!$A:$B,2,FALSE)),"Non trouvé")</f>
        <v>581</v>
      </c>
    </row>
    <row r="49" spans="1:3" x14ac:dyDescent="0.2">
      <c r="A49" t="s">
        <v>96</v>
      </c>
      <c r="B49" t="s">
        <v>97</v>
      </c>
      <c r="C49" s="4">
        <v>490</v>
      </c>
    </row>
    <row r="50" spans="1:3" x14ac:dyDescent="0.2">
      <c r="A50" t="s">
        <v>98</v>
      </c>
      <c r="B50" t="s">
        <v>99</v>
      </c>
      <c r="C50" s="4">
        <v>484</v>
      </c>
    </row>
    <row r="51" spans="1:3" x14ac:dyDescent="0.2">
      <c r="A51" t="s">
        <v>100</v>
      </c>
      <c r="B51" t="s">
        <v>101</v>
      </c>
      <c r="C51" s="4">
        <f>IFERROR(IF(VLOOKUP(B51,Old!$A:$B,2,FALSE)="","",VLOOKUP(B51,Old!$A:$B,2,FALSE)),"Non trouvé")</f>
        <v>94</v>
      </c>
    </row>
    <row r="52" spans="1:3" x14ac:dyDescent="0.2">
      <c r="A52" t="s">
        <v>102</v>
      </c>
      <c r="B52" t="s">
        <v>103</v>
      </c>
      <c r="C52" t="str">
        <f>IFERROR(IF(VLOOKUP(B52,Old!$A:$B,2,FALSE)="","",VLOOKUP(B52,Old!$A:$B,2,FALSE)),"Non trouvé")</f>
        <v/>
      </c>
    </row>
    <row r="53" spans="1:3" x14ac:dyDescent="0.2">
      <c r="A53" t="s">
        <v>104</v>
      </c>
      <c r="B53" t="s">
        <v>105</v>
      </c>
      <c r="C53" s="4">
        <v>344</v>
      </c>
    </row>
    <row r="54" spans="1:3" x14ac:dyDescent="0.2">
      <c r="A54" t="s">
        <v>106</v>
      </c>
      <c r="B54" t="s">
        <v>107</v>
      </c>
      <c r="C54" s="4">
        <f>IFERROR(IF(VLOOKUP(B54,Old!$A:$B,2,FALSE)="","",VLOOKUP(B54,Old!$A:$B,2,FALSE)),"Non trouvé")</f>
        <v>40</v>
      </c>
    </row>
    <row r="55" spans="1:3" x14ac:dyDescent="0.2">
      <c r="A55" t="s">
        <v>108</v>
      </c>
      <c r="B55" t="s">
        <v>109</v>
      </c>
      <c r="C55" s="4">
        <f>IFERROR(IF(VLOOKUP(B55,Old!$A:$B,2,FALSE)="","",VLOOKUP(B55,Old!$A:$B,2,FALSE)),"Non trouvé")</f>
        <v>1065</v>
      </c>
    </row>
    <row r="56" spans="1:3" x14ac:dyDescent="0.2">
      <c r="A56" t="s">
        <v>110</v>
      </c>
      <c r="B56" t="s">
        <v>111</v>
      </c>
      <c r="C56" s="4">
        <f>IFERROR(IF(VLOOKUP(B56,Old!$A:$B,2,FALSE)="","",VLOOKUP(B56,Old!$A:$B,2,FALSE)),"Non trouvé")</f>
        <v>352</v>
      </c>
    </row>
    <row r="57" spans="1:3" x14ac:dyDescent="0.2">
      <c r="A57" t="s">
        <v>112</v>
      </c>
      <c r="B57" t="s">
        <v>113</v>
      </c>
      <c r="C57" s="4">
        <v>316</v>
      </c>
    </row>
    <row r="58" spans="1:3" x14ac:dyDescent="0.2">
      <c r="A58" t="s">
        <v>114</v>
      </c>
      <c r="B58" t="s">
        <v>115</v>
      </c>
      <c r="C58" s="4">
        <f>IFERROR(IF(VLOOKUP(B58,Old!$A:$B,2,FALSE)="","",VLOOKUP(B58,Old!$A:$B,2,FALSE)),"Non trouvé")</f>
        <v>315</v>
      </c>
    </row>
    <row r="59" spans="1:3" x14ac:dyDescent="0.2">
      <c r="A59" t="s">
        <v>116</v>
      </c>
      <c r="B59" t="s">
        <v>117</v>
      </c>
      <c r="C59" s="4">
        <f>IFERROR(IF(VLOOKUP(B59,Old!$A:$B,2,FALSE)="","",VLOOKUP(B59,Old!$A:$B,2,FALSE)),"Non trouvé")</f>
        <v>437</v>
      </c>
    </row>
    <row r="60" spans="1:3" x14ac:dyDescent="0.2">
      <c r="A60" t="s">
        <v>118</v>
      </c>
      <c r="B60" t="s">
        <v>119</v>
      </c>
      <c r="C60" s="4">
        <f>IFERROR(IF(VLOOKUP(B60,Old!$A:$B,2,FALSE)="","",VLOOKUP(B60,Old!$A:$B,2,FALSE)),"Non trouvé")</f>
        <v>390</v>
      </c>
    </row>
    <row r="61" spans="1:3" x14ac:dyDescent="0.2">
      <c r="A61" t="s">
        <v>120</v>
      </c>
      <c r="B61" t="s">
        <v>121</v>
      </c>
      <c r="C61" s="4">
        <f>IFERROR(IF(VLOOKUP(B61,Old!$A:$B,2,FALSE)="","",VLOOKUP(B61,Old!$A:$B,2,FALSE)),"Non trouvé")</f>
        <v>522</v>
      </c>
    </row>
    <row r="62" spans="1:3" x14ac:dyDescent="0.2">
      <c r="A62" t="s">
        <v>122</v>
      </c>
      <c r="B62" t="s">
        <v>123</v>
      </c>
      <c r="C62" s="4">
        <f>IFERROR(IF(VLOOKUP(B62,Old!$A:$B,2,FALSE)="","",VLOOKUP(B62,Old!$A:$B,2,FALSE)),"Non trouvé")</f>
        <v>54</v>
      </c>
    </row>
    <row r="63" spans="1:3" x14ac:dyDescent="0.2">
      <c r="A63" t="s">
        <v>124</v>
      </c>
      <c r="B63" t="s">
        <v>125</v>
      </c>
      <c r="C63" s="4">
        <v>42</v>
      </c>
    </row>
    <row r="64" spans="1:3" x14ac:dyDescent="0.2">
      <c r="A64" t="s">
        <v>126</v>
      </c>
      <c r="B64" t="s">
        <v>127</v>
      </c>
    </row>
    <row r="65" spans="1:3" x14ac:dyDescent="0.2">
      <c r="A65" t="s">
        <v>128</v>
      </c>
      <c r="B65" t="s">
        <v>129</v>
      </c>
    </row>
    <row r="66" spans="1:3" x14ac:dyDescent="0.2">
      <c r="A66" t="s">
        <v>130</v>
      </c>
      <c r="B66" t="s">
        <v>131</v>
      </c>
      <c r="C66" s="4">
        <f>IFERROR(IF(VLOOKUP(B66,Old!$A:$B,2,FALSE)="","",VLOOKUP(B66,Old!$A:$B,2,FALSE)),"Non trouvé")</f>
        <v>130</v>
      </c>
    </row>
    <row r="67" spans="1:3" x14ac:dyDescent="0.2">
      <c r="A67" t="s">
        <v>132</v>
      </c>
      <c r="B67" t="s">
        <v>133</v>
      </c>
      <c r="C67" s="4">
        <v>651</v>
      </c>
    </row>
    <row r="68" spans="1:3" x14ac:dyDescent="0.2">
      <c r="A68" t="s">
        <v>134</v>
      </c>
      <c r="B68" t="s">
        <v>135</v>
      </c>
      <c r="C68" s="4">
        <f>IFERROR(IF(VLOOKUP(B68,Old!$A:$B,2,FALSE)="","",VLOOKUP(B68,Old!$A:$B,2,FALSE)),"Non trouvé")</f>
        <v>92</v>
      </c>
    </row>
    <row r="69" spans="1:3" x14ac:dyDescent="0.2">
      <c r="A69" t="s">
        <v>136</v>
      </c>
      <c r="B69" t="s">
        <v>137</v>
      </c>
    </row>
    <row r="70" spans="1:3" x14ac:dyDescent="0.2">
      <c r="A70" t="s">
        <v>138</v>
      </c>
      <c r="B70" t="s">
        <v>139</v>
      </c>
      <c r="C70" t="str">
        <f>IFERROR(IF(VLOOKUP(B70,Old!$A:$B,2,FALSE)="","",VLOOKUP(B70,Old!$A:$B,2,FALSE)),"Non trouvé")</f>
        <v/>
      </c>
    </row>
    <row r="71" spans="1:3" x14ac:dyDescent="0.2">
      <c r="A71" t="s">
        <v>140</v>
      </c>
      <c r="B71" t="s">
        <v>141</v>
      </c>
      <c r="C71" t="str">
        <f>IFERROR(IF(VLOOKUP(B71,Old!$A:$B,2,FALSE)="","",VLOOKUP(B71,Old!$A:$B,2,FALSE)),"Non trouvé")</f>
        <v/>
      </c>
    </row>
    <row r="72" spans="1:3" x14ac:dyDescent="0.2">
      <c r="A72" t="s">
        <v>142</v>
      </c>
      <c r="B72" t="s">
        <v>143</v>
      </c>
      <c r="C72" s="4">
        <v>411</v>
      </c>
    </row>
    <row r="73" spans="1:3" x14ac:dyDescent="0.2">
      <c r="A73" t="s">
        <v>144</v>
      </c>
      <c r="B73" t="s">
        <v>145</v>
      </c>
      <c r="C73" s="4">
        <f>IFERROR(IF(VLOOKUP(B73,Old!$A:$B,2,FALSE)="","",VLOOKUP(B73,Old!$A:$B,2,FALSE)),"Non trouvé")</f>
        <v>531</v>
      </c>
    </row>
    <row r="74" spans="1:3" x14ac:dyDescent="0.2">
      <c r="A74" t="s">
        <v>146</v>
      </c>
      <c r="B74" t="s">
        <v>147</v>
      </c>
      <c r="C74" s="4">
        <v>366</v>
      </c>
    </row>
    <row r="75" spans="1:3" x14ac:dyDescent="0.2">
      <c r="A75" t="s">
        <v>148</v>
      </c>
      <c r="B75" t="s">
        <v>149</v>
      </c>
      <c r="C75" s="4">
        <f>IFERROR(IF(VLOOKUP(B75,Old!$A:$B,2,FALSE)="","",VLOOKUP(B75,Old!$A:$B,2,FALSE)),"Non trouvé")</f>
        <v>572</v>
      </c>
    </row>
    <row r="76" spans="1:3" x14ac:dyDescent="0.2">
      <c r="A76" t="s">
        <v>150</v>
      </c>
      <c r="B76" t="s">
        <v>151</v>
      </c>
      <c r="C76" s="4">
        <v>530</v>
      </c>
    </row>
    <row r="77" spans="1:3" x14ac:dyDescent="0.2">
      <c r="A77" t="s">
        <v>152</v>
      </c>
      <c r="B77" t="s">
        <v>153</v>
      </c>
    </row>
    <row r="78" spans="1:3" x14ac:dyDescent="0.2">
      <c r="A78" t="s">
        <v>154</v>
      </c>
      <c r="B78" t="s">
        <v>155</v>
      </c>
    </row>
    <row r="79" spans="1:3" x14ac:dyDescent="0.2">
      <c r="A79" t="s">
        <v>156</v>
      </c>
      <c r="B79" t="s">
        <v>157</v>
      </c>
      <c r="C79" t="str">
        <f>IFERROR(IF(VLOOKUP(B79,Old!$A:$B,2,FALSE)="","",VLOOKUP(B79,Old!$A:$B,2,FALSE)),"Non trouvé")</f>
        <v/>
      </c>
    </row>
    <row r="80" spans="1:3" x14ac:dyDescent="0.2">
      <c r="A80" t="s">
        <v>158</v>
      </c>
      <c r="B80" t="s">
        <v>159</v>
      </c>
    </row>
    <row r="81" spans="1:3" x14ac:dyDescent="0.2">
      <c r="A81" t="s">
        <v>160</v>
      </c>
      <c r="B81" t="s">
        <v>161</v>
      </c>
      <c r="C81" s="4">
        <f>IFERROR(IF(VLOOKUP(B81,Old!$A:$B,2,FALSE)="","",VLOOKUP(B81,Old!$A:$B,2,FALSE)),"Non trouvé")</f>
        <v>1163</v>
      </c>
    </row>
    <row r="82" spans="1:3" x14ac:dyDescent="0.2">
      <c r="A82" t="s">
        <v>162</v>
      </c>
      <c r="B82" t="s">
        <v>163</v>
      </c>
      <c r="C82" s="4">
        <f>IFERROR(IF(VLOOKUP(B82,Old!$A:$B,2,FALSE)="","",VLOOKUP(B82,Old!$A:$B,2,FALSE)),"Non trouvé")</f>
        <v>11</v>
      </c>
    </row>
    <row r="83" spans="1:3" x14ac:dyDescent="0.2">
      <c r="A83" t="s">
        <v>164</v>
      </c>
      <c r="B83" t="s">
        <v>165</v>
      </c>
      <c r="C83" s="4">
        <v>950</v>
      </c>
    </row>
    <row r="84" spans="1:3" x14ac:dyDescent="0.2">
      <c r="A84" t="s">
        <v>166</v>
      </c>
      <c r="B84" t="s">
        <v>167</v>
      </c>
      <c r="C84" s="4">
        <f>IFERROR(IF(VLOOKUP(B84,Old!$A:$B,2,FALSE)="","",VLOOKUP(B84,Old!$A:$B,2,FALSE)),"Non trouvé")</f>
        <v>375</v>
      </c>
    </row>
    <row r="85" spans="1:3" x14ac:dyDescent="0.2">
      <c r="A85" t="s">
        <v>168</v>
      </c>
      <c r="B85" t="s">
        <v>169</v>
      </c>
      <c r="C85" s="4">
        <f>IFERROR(IF(VLOOKUP(B85,Old!$A:$B,2,FALSE)="","",VLOOKUP(B85,Old!$A:$B,2,FALSE)),"Non trouvé")</f>
        <v>220</v>
      </c>
    </row>
    <row r="86" spans="1:3" x14ac:dyDescent="0.2">
      <c r="A86" t="s">
        <v>170</v>
      </c>
      <c r="B86" t="s">
        <v>171</v>
      </c>
      <c r="C86" s="4">
        <f>IFERROR(IF(VLOOKUP(B86,Old!$A:$B,2,FALSE)="","",VLOOKUP(B86,Old!$A:$B,2,FALSE)),"Non trouvé")</f>
        <v>960</v>
      </c>
    </row>
    <row r="87" spans="1:3" x14ac:dyDescent="0.2">
      <c r="A87" t="s">
        <v>172</v>
      </c>
      <c r="B87" t="s">
        <v>173</v>
      </c>
      <c r="C87" s="4">
        <f>IFERROR(IF(VLOOKUP(B87,Old!$A:$B,2,FALSE)="","",VLOOKUP(B87,Old!$A:$B,2,FALSE)),"Non trouvé")</f>
        <v>481</v>
      </c>
    </row>
    <row r="88" spans="1:3" x14ac:dyDescent="0.2">
      <c r="A88" t="s">
        <v>174</v>
      </c>
      <c r="B88" t="s">
        <v>175</v>
      </c>
      <c r="C88" s="4">
        <f>IFERROR(IF(VLOOKUP(B88,Old!$A:$B,2,FALSE)="","",VLOOKUP(B88,Old!$A:$B,2,FALSE)),"Non trouvé")</f>
        <v>420</v>
      </c>
    </row>
    <row r="89" spans="1:3" x14ac:dyDescent="0.2">
      <c r="A89" t="s">
        <v>176</v>
      </c>
      <c r="B89" t="s">
        <v>177</v>
      </c>
      <c r="C89" s="4">
        <f>IFERROR(IF(VLOOKUP(B89,Old!$A:$B,2,FALSE)="","",VLOOKUP(B89,Old!$A:$B,2,FALSE)),"Non trouvé")</f>
        <v>372</v>
      </c>
    </row>
    <row r="90" spans="1:3" x14ac:dyDescent="0.2">
      <c r="A90" t="s">
        <v>178</v>
      </c>
      <c r="B90" t="s">
        <v>179</v>
      </c>
      <c r="C90" s="4">
        <v>265</v>
      </c>
    </row>
    <row r="91" spans="1:3" x14ac:dyDescent="0.2">
      <c r="A91" t="s">
        <v>180</v>
      </c>
      <c r="B91" t="s">
        <v>181</v>
      </c>
      <c r="C91" s="4">
        <f>IFERROR(IF(VLOOKUP(B91,Old!$A:$B,2,FALSE)="","",VLOOKUP(B91,Old!$A:$B,2,FALSE)),"Non trouvé")</f>
        <v>255</v>
      </c>
    </row>
    <row r="92" spans="1:3" x14ac:dyDescent="0.2">
      <c r="A92" t="s">
        <v>182</v>
      </c>
      <c r="B92" t="s">
        <v>183</v>
      </c>
      <c r="C92" s="4">
        <f>IFERROR(IF(VLOOKUP(B92,Old!$A:$B,2,FALSE)="","",VLOOKUP(B92,Old!$A:$B,2,FALSE)),"Non trouvé")</f>
        <v>452</v>
      </c>
    </row>
    <row r="93" spans="1:3" x14ac:dyDescent="0.2">
      <c r="A93" t="s">
        <v>184</v>
      </c>
      <c r="B93" t="s">
        <v>185</v>
      </c>
      <c r="C93" s="4">
        <f>IFERROR(IF(VLOOKUP(B93,Old!$A:$B,2,FALSE)="","",VLOOKUP(B93,Old!$A:$B,2,FALSE)),"Non trouvé")</f>
        <v>231</v>
      </c>
    </row>
    <row r="94" spans="1:3" x14ac:dyDescent="0.2">
      <c r="A94" t="s">
        <v>186</v>
      </c>
      <c r="B94" t="s">
        <v>187</v>
      </c>
      <c r="C94" s="4">
        <f>IFERROR(IF(VLOOKUP(B94,Old!$A:$B,2,FALSE)="","",VLOOKUP(B94,Old!$A:$B,2,FALSE)),"Non trouvé")</f>
        <v>350</v>
      </c>
    </row>
    <row r="95" spans="1:3" x14ac:dyDescent="0.2">
      <c r="A95" t="s">
        <v>188</v>
      </c>
      <c r="B95" t="s">
        <v>189</v>
      </c>
      <c r="C95" s="4">
        <f>IFERROR(IF(VLOOKUP(B95,Old!$A:$B,2,FALSE)="","",VLOOKUP(B95,Old!$A:$B,2,FALSE)),"Non trouvé")</f>
        <v>10</v>
      </c>
    </row>
    <row r="96" spans="1:3" x14ac:dyDescent="0.2">
      <c r="A96" t="s">
        <v>190</v>
      </c>
      <c r="B96" t="s">
        <v>191</v>
      </c>
      <c r="C96" s="4">
        <f>IFERROR(IF(VLOOKUP(B96,Old!$A:$B,2,FALSE)="","",VLOOKUP(B96,Old!$A:$B,2,FALSE)),"Non trouvé")</f>
        <v>55</v>
      </c>
    </row>
    <row r="97" spans="1:3" x14ac:dyDescent="0.2">
      <c r="A97" t="s">
        <v>192</v>
      </c>
      <c r="B97" t="s">
        <v>193</v>
      </c>
      <c r="C97" s="4">
        <f>IFERROR(IF(VLOOKUP(B97,Old!$A:$B,2,FALSE)="","",VLOOKUP(B97,Old!$A:$B,2,FALSE)),"Non trouvé")</f>
        <v>985</v>
      </c>
    </row>
    <row r="98" spans="1:3" x14ac:dyDescent="0.2">
      <c r="A98" t="s">
        <v>194</v>
      </c>
      <c r="B98" t="s">
        <v>195</v>
      </c>
      <c r="C98" s="4">
        <f>IFERROR(IF(VLOOKUP(B98,Old!$A:$B,2,FALSE)="","",VLOOKUP(B98,Old!$A:$B,2,FALSE)),"Non trouvé")</f>
        <v>90</v>
      </c>
    </row>
    <row r="99" spans="1:3" x14ac:dyDescent="0.2">
      <c r="A99" t="s">
        <v>196</v>
      </c>
      <c r="B99" t="s">
        <v>197</v>
      </c>
      <c r="C99" s="4">
        <f>IFERROR(IF(VLOOKUP(B99,Old!$A:$B,2,FALSE)="","",VLOOKUP(B99,Old!$A:$B,2,FALSE)),"Non trouvé")</f>
        <v>438</v>
      </c>
    </row>
    <row r="100" spans="1:3" x14ac:dyDescent="0.2">
      <c r="A100" t="s">
        <v>198</v>
      </c>
      <c r="B100" t="s">
        <v>199</v>
      </c>
      <c r="C100" s="4">
        <f>IFERROR(IF(VLOOKUP(B100,Old!$A:$B,2,FALSE)="","",VLOOKUP(B100,Old!$A:$B,2,FALSE)),"Non trouvé")</f>
        <v>404</v>
      </c>
    </row>
    <row r="101" spans="1:3" x14ac:dyDescent="0.2">
      <c r="A101" t="s">
        <v>200</v>
      </c>
      <c r="B101" t="s">
        <v>201</v>
      </c>
      <c r="C101" s="4">
        <f>IFERROR(IF(VLOOKUP(B101,Old!$A:$B,2,FALSE)="","",VLOOKUP(B101,Old!$A:$B,2,FALSE)),"Non trouvé")</f>
        <v>110</v>
      </c>
    </row>
    <row r="102" spans="1:3" x14ac:dyDescent="0.2">
      <c r="A102" t="s">
        <v>202</v>
      </c>
      <c r="B102" t="s">
        <v>203</v>
      </c>
      <c r="C102" s="4">
        <f>IFERROR(IF(VLOOKUP(B102,Old!$A:$B,2,FALSE)="","",VLOOKUP(B102,Old!$A:$B,2,FALSE)),"Non trouvé")</f>
        <v>41</v>
      </c>
    </row>
    <row r="103" spans="1:3" x14ac:dyDescent="0.2">
      <c r="A103" t="s">
        <v>204</v>
      </c>
      <c r="B103" t="s">
        <v>205</v>
      </c>
      <c r="C103" s="4">
        <f>IFERROR(IF(VLOOKUP(B103,Old!$A:$B,2,FALSE)="","",VLOOKUP(B103,Old!$A:$B,2,FALSE)),"Non trouvé")</f>
        <v>328</v>
      </c>
    </row>
    <row r="104" spans="1:3" x14ac:dyDescent="0.2">
      <c r="A104" t="s">
        <v>206</v>
      </c>
      <c r="B104" t="s">
        <v>207</v>
      </c>
      <c r="C104" s="4">
        <f>IFERROR(IF(VLOOKUP(B104,Old!$A:$B,2,FALSE)="","",VLOOKUP(B104,Old!$A:$B,2,FALSE)),"Non trouvé")</f>
        <v>91</v>
      </c>
    </row>
    <row r="105" spans="1:3" x14ac:dyDescent="0.2">
      <c r="A105" t="s">
        <v>208</v>
      </c>
      <c r="B105" t="s">
        <v>209</v>
      </c>
      <c r="C105" s="4">
        <v>720</v>
      </c>
    </row>
    <row r="106" spans="1:3" x14ac:dyDescent="0.2">
      <c r="A106" t="s">
        <v>210</v>
      </c>
      <c r="B106" t="s">
        <v>211</v>
      </c>
      <c r="C106" s="4">
        <f>IFERROR(IF(VLOOKUP(B106,Old!$A:$B,2,FALSE)="","",VLOOKUP(B106,Old!$A:$B,2,FALSE)),"Non trouvé")</f>
        <v>310</v>
      </c>
    </row>
    <row r="107" spans="1:3" x14ac:dyDescent="0.2">
      <c r="A107" t="s">
        <v>212</v>
      </c>
      <c r="B107" t="s">
        <v>213</v>
      </c>
      <c r="C107" s="4">
        <f>IFERROR(IF(VLOOKUP(B107,Old!$A:$B,2,FALSE)="","",VLOOKUP(B107,Old!$A:$B,2,FALSE)),"Non trouvé")</f>
        <v>395</v>
      </c>
    </row>
    <row r="108" spans="1:3" x14ac:dyDescent="0.2">
      <c r="A108" t="s">
        <v>214</v>
      </c>
      <c r="B108" t="s">
        <v>215</v>
      </c>
      <c r="C108" s="4">
        <f>IFERROR(IF(VLOOKUP(B108,Old!$A:$B,2,FALSE)="","",VLOOKUP(B108,Old!$A:$B,2,FALSE)),"Non trouvé")</f>
        <v>750</v>
      </c>
    </row>
    <row r="109" spans="1:3" x14ac:dyDescent="0.2">
      <c r="A109" t="s">
        <v>216</v>
      </c>
      <c r="B109" t="s">
        <v>217</v>
      </c>
      <c r="C109" s="4">
        <f>IFERROR(IF(VLOOKUP(B109,Old!$A:$B,2,FALSE)="","",VLOOKUP(B109,Old!$A:$B,2,FALSE)),"Non trouvé")</f>
        <v>850</v>
      </c>
    </row>
    <row r="110" spans="1:3" x14ac:dyDescent="0.2">
      <c r="A110" t="s">
        <v>218</v>
      </c>
      <c r="B110" t="s">
        <v>219</v>
      </c>
      <c r="C110" s="4">
        <v>630</v>
      </c>
    </row>
    <row r="111" spans="1:3" x14ac:dyDescent="0.2">
      <c r="A111" t="s">
        <v>220</v>
      </c>
      <c r="B111" t="s">
        <v>221</v>
      </c>
      <c r="C111" s="4">
        <f>IFERROR(IF(VLOOKUP(B111,Old!$A:$B,2,FALSE)="","",VLOOKUP(B111,Old!$A:$B,2,FALSE)),"Non trouvé")</f>
        <v>645</v>
      </c>
    </row>
    <row r="112" spans="1:3" x14ac:dyDescent="0.2">
      <c r="A112" t="s">
        <v>222</v>
      </c>
      <c r="B112" t="s">
        <v>223</v>
      </c>
      <c r="C112" s="4">
        <f>IFERROR(IF(VLOOKUP(B112,Old!$A:$B,2,FALSE)="","",VLOOKUP(B112,Old!$A:$B,2,FALSE)),"Non trouvé")</f>
        <v>205</v>
      </c>
    </row>
    <row r="113" spans="1:3" x14ac:dyDescent="0.2">
      <c r="A113" t="s">
        <v>224</v>
      </c>
      <c r="B113" t="s">
        <v>225</v>
      </c>
      <c r="C113" s="4">
        <f>IFERROR(IF(VLOOKUP(B113,Old!$A:$B,2,FALSE)="","",VLOOKUP(B113,Old!$A:$B,2,FALSE)),"Non trouvé")</f>
        <v>666</v>
      </c>
    </row>
    <row r="114" spans="1:3" x14ac:dyDescent="0.2">
      <c r="A114" t="s">
        <v>226</v>
      </c>
      <c r="B114" t="s">
        <v>227</v>
      </c>
      <c r="C114" s="4">
        <f>IFERROR(IF(VLOOKUP(B114,Old!$A:$B,2,FALSE)="","",VLOOKUP(B114,Old!$A:$B,2,FALSE)),"Non trouvé")</f>
        <v>325</v>
      </c>
    </row>
    <row r="115" spans="1:3" x14ac:dyDescent="0.2">
      <c r="A115" t="s">
        <v>228</v>
      </c>
      <c r="B115" t="s">
        <v>229</v>
      </c>
      <c r="C115" s="4">
        <f>IFERROR(IF(VLOOKUP(B115,Old!$A:$B,2,FALSE)="","",VLOOKUP(B115,Old!$A:$B,2,FALSE)),"Non trouvé")</f>
        <v>51</v>
      </c>
    </row>
    <row r="116" spans="1:3" x14ac:dyDescent="0.2">
      <c r="A116" t="s">
        <v>230</v>
      </c>
      <c r="B116" t="s">
        <v>231</v>
      </c>
      <c r="C116" s="4">
        <f>IFERROR(IF(VLOOKUP(B116,Old!$A:$B,2,FALSE)="","",VLOOKUP(B116,Old!$A:$B,2,FALSE)),"Non trouvé")</f>
        <v>740</v>
      </c>
    </row>
    <row r="117" spans="1:3" x14ac:dyDescent="0.2">
      <c r="A117" t="s">
        <v>232</v>
      </c>
      <c r="B117" t="s">
        <v>233</v>
      </c>
      <c r="C117" s="4">
        <f>IFERROR(IF(VLOOKUP(B117,Old!$A:$B,2,FALSE)="","",VLOOKUP(B117,Old!$A:$B,2,FALSE)),"Non trouvé")</f>
        <v>663</v>
      </c>
    </row>
    <row r="118" spans="1:3" x14ac:dyDescent="0.2">
      <c r="A118" t="s">
        <v>234</v>
      </c>
      <c r="B118" t="s">
        <v>235</v>
      </c>
      <c r="C118" s="4">
        <v>705</v>
      </c>
    </row>
    <row r="119" spans="1:3" x14ac:dyDescent="0.2">
      <c r="A119" t="s">
        <v>236</v>
      </c>
      <c r="B119" t="s">
        <v>237</v>
      </c>
      <c r="C119" s="4">
        <f>IFERROR(IF(VLOOKUP(B119,Old!$A:$B,2,FALSE)="","",VLOOKUP(B119,Old!$A:$B,2,FALSE)),"Non trouvé")</f>
        <v>501</v>
      </c>
    </row>
    <row r="120" spans="1:3" x14ac:dyDescent="0.2">
      <c r="A120" t="s">
        <v>238</v>
      </c>
      <c r="B120" t="s">
        <v>239</v>
      </c>
      <c r="C120" s="4">
        <f>IFERROR(IF(VLOOKUP(B120,Old!$A:$B,2,FALSE)="","",VLOOKUP(B120,Old!$A:$B,2,FALSE)),"Non trouvé")</f>
        <v>946</v>
      </c>
    </row>
    <row r="121" spans="1:3" x14ac:dyDescent="0.2">
      <c r="A121" t="s">
        <v>240</v>
      </c>
      <c r="B121" t="s">
        <v>241</v>
      </c>
      <c r="C121" s="4">
        <v>731</v>
      </c>
    </row>
    <row r="122" spans="1:3" x14ac:dyDescent="0.2">
      <c r="A122" t="s">
        <v>242</v>
      </c>
      <c r="B122" t="s">
        <v>243</v>
      </c>
      <c r="C122" s="4">
        <v>732</v>
      </c>
    </row>
    <row r="123" spans="1:3" x14ac:dyDescent="0.2">
      <c r="A123" t="s">
        <v>244</v>
      </c>
      <c r="B123" t="s">
        <v>245</v>
      </c>
      <c r="C123" s="4">
        <v>347</v>
      </c>
    </row>
    <row r="124" spans="1:3" x14ac:dyDescent="0.2">
      <c r="A124" t="s">
        <v>246</v>
      </c>
      <c r="B124" t="s">
        <v>247</v>
      </c>
      <c r="C124" s="4">
        <f>IFERROR(IF(VLOOKUP(B124,Old!$A:$B,2,FALSE)="","",VLOOKUP(B124,Old!$A:$B,2,FALSE)),"Non trouvé")</f>
        <v>690</v>
      </c>
    </row>
    <row r="125" spans="1:3" x14ac:dyDescent="0.2">
      <c r="A125" t="s">
        <v>248</v>
      </c>
      <c r="B125" t="s">
        <v>249</v>
      </c>
      <c r="C125" s="4">
        <v>703</v>
      </c>
    </row>
    <row r="126" spans="1:3" x14ac:dyDescent="0.2">
      <c r="A126" t="s">
        <v>250</v>
      </c>
      <c r="B126" t="s">
        <v>251</v>
      </c>
      <c r="C126" s="4">
        <v>812</v>
      </c>
    </row>
    <row r="127" spans="1:3" x14ac:dyDescent="0.2">
      <c r="A127" t="s">
        <v>252</v>
      </c>
      <c r="B127" t="s">
        <v>253</v>
      </c>
    </row>
    <row r="128" spans="1:3" x14ac:dyDescent="0.2">
      <c r="A128" t="s">
        <v>254</v>
      </c>
      <c r="B128" t="s">
        <v>255</v>
      </c>
      <c r="C128" s="4">
        <v>367</v>
      </c>
    </row>
    <row r="129" spans="1:3" x14ac:dyDescent="0.2">
      <c r="A129" t="s">
        <v>256</v>
      </c>
      <c r="B129" t="s">
        <v>257</v>
      </c>
      <c r="C129" s="4">
        <f>IFERROR(IF(VLOOKUP(B129,Old!$A:$B,2,FALSE)="","",VLOOKUP(B129,Old!$A:$B,2,FALSE)),"Non trouvé")</f>
        <v>660</v>
      </c>
    </row>
    <row r="130" spans="1:3" x14ac:dyDescent="0.2">
      <c r="A130" t="s">
        <v>258</v>
      </c>
      <c r="B130" t="s">
        <v>259</v>
      </c>
      <c r="C130" s="4">
        <f>IFERROR(IF(VLOOKUP(B130,Old!$A:$B,2,FALSE)="","",VLOOKUP(B130,Old!$A:$B,2,FALSE)),"Non trouvé")</f>
        <v>570</v>
      </c>
    </row>
    <row r="131" spans="1:3" x14ac:dyDescent="0.2">
      <c r="A131" t="s">
        <v>260</v>
      </c>
      <c r="B131" t="s">
        <v>261</v>
      </c>
      <c r="C131" s="4">
        <f>IFERROR(IF(VLOOKUP(B131,Old!$A:$B,2,FALSE)="","",VLOOKUP(B131,Old!$A:$B,2,FALSE)),"Non trouvé")</f>
        <v>450</v>
      </c>
    </row>
    <row r="132" spans="1:3" x14ac:dyDescent="0.2">
      <c r="A132" t="s">
        <v>262</v>
      </c>
      <c r="B132" t="s">
        <v>263</v>
      </c>
      <c r="C132" s="4">
        <f>IFERROR(IF(VLOOKUP(B132,Old!$A:$B,2,FALSE)="","",VLOOKUP(B132,Old!$A:$B,2,FALSE)),"Non trouvé")</f>
        <v>620</v>
      </c>
    </row>
    <row r="133" spans="1:3" x14ac:dyDescent="0.2">
      <c r="A133" t="s">
        <v>264</v>
      </c>
      <c r="B133" t="s">
        <v>265</v>
      </c>
      <c r="C133" s="4">
        <v>368</v>
      </c>
    </row>
    <row r="134" spans="1:3" x14ac:dyDescent="0.2">
      <c r="A134" t="s">
        <v>266</v>
      </c>
      <c r="B134" t="s">
        <v>267</v>
      </c>
      <c r="C134" s="4">
        <f>IFERROR(IF(VLOOKUP(B134,Old!$A:$B,2,FALSE)="","",VLOOKUP(B134,Old!$A:$B,2,FALSE)),"Non trouvé")</f>
        <v>212</v>
      </c>
    </row>
    <row r="135" spans="1:3" x14ac:dyDescent="0.2">
      <c r="A135" t="s">
        <v>268</v>
      </c>
      <c r="B135" t="s">
        <v>269</v>
      </c>
      <c r="C135" s="4">
        <v>721</v>
      </c>
    </row>
    <row r="136" spans="1:3" x14ac:dyDescent="0.2">
      <c r="A136" t="s">
        <v>270</v>
      </c>
      <c r="B136" t="s">
        <v>271</v>
      </c>
      <c r="C136" s="4">
        <v>580</v>
      </c>
    </row>
    <row r="137" spans="1:3" x14ac:dyDescent="0.2">
      <c r="A137" t="s">
        <v>272</v>
      </c>
      <c r="B137" t="s">
        <v>273</v>
      </c>
      <c r="C137" s="4">
        <f>IFERROR(IF(VLOOKUP(B137,Old!$A:$B,2,FALSE)="","",VLOOKUP(B137,Old!$A:$B,2,FALSE)),"Non trouvé")</f>
        <v>553</v>
      </c>
    </row>
    <row r="138" spans="1:3" x14ac:dyDescent="0.2">
      <c r="A138" t="s">
        <v>274</v>
      </c>
      <c r="B138" t="s">
        <v>275</v>
      </c>
      <c r="C138" s="4">
        <f>IFERROR(IF(VLOOKUP(B138,Old!$A:$B,2,FALSE)="","",VLOOKUP(B138,Old!$A:$B,2,FALSE)),"Non trouvé")</f>
        <v>820</v>
      </c>
    </row>
    <row r="139" spans="1:3" x14ac:dyDescent="0.2">
      <c r="A139" t="s">
        <v>276</v>
      </c>
      <c r="B139" t="s">
        <v>277</v>
      </c>
      <c r="C139" s="4">
        <f>IFERROR(IF(VLOOKUP(B139,Old!$A:$B,2,FALSE)="","",VLOOKUP(B139,Old!$A:$B,2,FALSE)),"Non trouvé")</f>
        <v>781</v>
      </c>
    </row>
    <row r="140" spans="1:3" x14ac:dyDescent="0.2">
      <c r="A140" t="s">
        <v>278</v>
      </c>
      <c r="B140" t="s">
        <v>279</v>
      </c>
      <c r="C140" s="4">
        <f>IFERROR(IF(VLOOKUP(B140,Old!$A:$B,2,FALSE)="","",VLOOKUP(B140,Old!$A:$B,2,FALSE)),"Non trouvé")</f>
        <v>432</v>
      </c>
    </row>
    <row r="141" spans="1:3" x14ac:dyDescent="0.2">
      <c r="A141" t="s">
        <v>280</v>
      </c>
      <c r="B141" t="s">
        <v>281</v>
      </c>
      <c r="C141" s="4">
        <f>IFERROR(IF(VLOOKUP(B141,Old!$A:$B,2,FALSE)="","",VLOOKUP(B141,Old!$A:$B,2,FALSE)),"Non trouvé")</f>
        <v>338</v>
      </c>
    </row>
    <row r="142" spans="1:3" x14ac:dyDescent="0.2">
      <c r="A142" t="s">
        <v>282</v>
      </c>
      <c r="B142" t="s">
        <v>283</v>
      </c>
      <c r="C142" s="4">
        <v>983</v>
      </c>
    </row>
    <row r="143" spans="1:3" x14ac:dyDescent="0.2">
      <c r="A143" t="s">
        <v>284</v>
      </c>
      <c r="B143" t="s">
        <v>285</v>
      </c>
      <c r="C143" s="4">
        <v>435</v>
      </c>
    </row>
    <row r="144" spans="1:3" x14ac:dyDescent="0.2">
      <c r="A144" t="s">
        <v>286</v>
      </c>
      <c r="B144" t="s">
        <v>287</v>
      </c>
      <c r="C144" s="4">
        <f>IFERROR(IF(VLOOKUP(B144,Old!$A:$B,2,FALSE)="","",VLOOKUP(B144,Old!$A:$B,2,FALSE)),"Non trouvé")</f>
        <v>590</v>
      </c>
    </row>
    <row r="145" spans="1:3" x14ac:dyDescent="0.2">
      <c r="A145" t="s">
        <v>288</v>
      </c>
      <c r="B145" t="s">
        <v>289</v>
      </c>
      <c r="C145" s="4">
        <f>IFERROR(IF(VLOOKUP(B145,Old!$A:$B,2,FALSE)="","",VLOOKUP(B145,Old!$A:$B,2,FALSE)),"Non trouvé")</f>
        <v>70</v>
      </c>
    </row>
    <row r="146" spans="1:3" x14ac:dyDescent="0.2">
      <c r="A146" t="s">
        <v>290</v>
      </c>
      <c r="B146" t="s">
        <v>291</v>
      </c>
      <c r="C146" s="4">
        <f>IFERROR(IF(VLOOKUP(B146,Old!$A:$B,2,FALSE)="","",VLOOKUP(B146,Old!$A:$B,2,FALSE)),"Non trouvé")</f>
        <v>987</v>
      </c>
    </row>
    <row r="147" spans="1:3" x14ac:dyDescent="0.2">
      <c r="A147" t="s">
        <v>292</v>
      </c>
      <c r="B147" t="s">
        <v>293</v>
      </c>
      <c r="C147" t="str">
        <f>IFERROR(IF(VLOOKUP(B147,Old!$A:$B,2,FALSE)="","",VLOOKUP(B147,Old!$A:$B,2,FALSE)),"Non trouvé")</f>
        <v/>
      </c>
    </row>
    <row r="148" spans="1:3" x14ac:dyDescent="0.2">
      <c r="A148" t="s">
        <v>294</v>
      </c>
      <c r="B148" t="s">
        <v>295</v>
      </c>
      <c r="C148" t="str">
        <f>IFERROR(IF(VLOOKUP(B148,Old!$A:$B,2,FALSE)="","",VLOOKUP(B148,Old!$A:$B,2,FALSE)),"Non trouvé")</f>
        <v/>
      </c>
    </row>
    <row r="149" spans="1:3" x14ac:dyDescent="0.2">
      <c r="A149" t="s">
        <v>296</v>
      </c>
      <c r="B149" t="s">
        <v>297</v>
      </c>
      <c r="C149" t="str">
        <f>IFERROR(IF(VLOOKUP(B149,Old!$A:$B,2,FALSE)="","",VLOOKUP(B149,Old!$A:$B,2,FALSE)),"Non trouvé")</f>
        <v/>
      </c>
    </row>
    <row r="150" spans="1:3" x14ac:dyDescent="0.2">
      <c r="A150" t="s">
        <v>298</v>
      </c>
      <c r="B150" t="s">
        <v>299</v>
      </c>
    </row>
    <row r="151" spans="1:3" x14ac:dyDescent="0.2">
      <c r="A151" t="s">
        <v>300</v>
      </c>
      <c r="B151" t="s">
        <v>301</v>
      </c>
      <c r="C151" s="4">
        <v>359</v>
      </c>
    </row>
    <row r="152" spans="1:3" x14ac:dyDescent="0.2">
      <c r="A152" t="s">
        <v>302</v>
      </c>
      <c r="B152" t="s">
        <v>303</v>
      </c>
      <c r="C152" s="4">
        <f>IFERROR(IF(VLOOKUP(B152,Old!$A:$B,2,FALSE)="","",VLOOKUP(B152,Old!$A:$B,2,FALSE)),"Non trouvé")</f>
        <v>712</v>
      </c>
    </row>
    <row r="153" spans="1:3" x14ac:dyDescent="0.2">
      <c r="A153" t="s">
        <v>304</v>
      </c>
      <c r="B153" t="s">
        <v>305</v>
      </c>
      <c r="C153" s="4">
        <f>IFERROR(IF(VLOOKUP(B153,Old!$A:$B,2,FALSE)="","",VLOOKUP(B153,Old!$A:$B,2,FALSE)),"Non trouvé")</f>
        <v>341</v>
      </c>
    </row>
    <row r="154" spans="1:3" x14ac:dyDescent="0.2">
      <c r="A154" t="s">
        <v>306</v>
      </c>
      <c r="B154" t="s">
        <v>307</v>
      </c>
      <c r="C154" s="4">
        <v>59</v>
      </c>
    </row>
    <row r="155" spans="1:3" x14ac:dyDescent="0.2">
      <c r="A155" t="s">
        <v>308</v>
      </c>
      <c r="B155" t="s">
        <v>309</v>
      </c>
      <c r="C155" s="4">
        <f>IFERROR(IF(VLOOKUP(B155,Old!$A:$B,2,FALSE)="","",VLOOKUP(B155,Old!$A:$B,2,FALSE)),"Non trouvé")</f>
        <v>600</v>
      </c>
    </row>
    <row r="156" spans="1:3" x14ac:dyDescent="0.2">
      <c r="A156" t="s">
        <v>310</v>
      </c>
      <c r="B156" t="s">
        <v>311</v>
      </c>
      <c r="C156" s="4">
        <v>541</v>
      </c>
    </row>
    <row r="157" spans="1:3" x14ac:dyDescent="0.2">
      <c r="A157" t="s">
        <v>312</v>
      </c>
      <c r="B157" t="s">
        <v>313</v>
      </c>
      <c r="C157" s="4">
        <f>IFERROR(IF(VLOOKUP(B157,Old!$A:$B,2,FALSE)="","",VLOOKUP(B157,Old!$A:$B,2,FALSE)),"Non trouvé")</f>
        <v>775</v>
      </c>
    </row>
    <row r="158" spans="1:3" x14ac:dyDescent="0.2">
      <c r="A158" t="s">
        <v>314</v>
      </c>
      <c r="B158" t="s">
        <v>315</v>
      </c>
      <c r="C158" s="4">
        <f>IFERROR(IF(VLOOKUP(B158,Old!$A:$B,2,FALSE)="","",VLOOKUP(B158,Old!$A:$B,2,FALSE)),"Non trouvé")</f>
        <v>565</v>
      </c>
    </row>
    <row r="159" spans="1:3" x14ac:dyDescent="0.2">
      <c r="A159" t="s">
        <v>316</v>
      </c>
      <c r="B159" t="s">
        <v>317</v>
      </c>
      <c r="C159" s="4">
        <v>970</v>
      </c>
    </row>
    <row r="160" spans="1:3" x14ac:dyDescent="0.2">
      <c r="A160" t="s">
        <v>318</v>
      </c>
      <c r="B160" t="s">
        <v>319</v>
      </c>
      <c r="C160" s="4">
        <f>IFERROR(IF(VLOOKUP(B160,Old!$A:$B,2,FALSE)="","",VLOOKUP(B160,Old!$A:$B,2,FALSE)),"Non trouvé")</f>
        <v>790</v>
      </c>
    </row>
    <row r="161" spans="1:3" x14ac:dyDescent="0.2">
      <c r="A161" t="s">
        <v>320</v>
      </c>
      <c r="B161" t="s">
        <v>321</v>
      </c>
      <c r="C161" s="4">
        <f>IFERROR(IF(VLOOKUP(B161,Old!$A:$B,2,FALSE)="","",VLOOKUP(B161,Old!$A:$B,2,FALSE)),"Non trouvé")</f>
        <v>68</v>
      </c>
    </row>
    <row r="162" spans="1:3" x14ac:dyDescent="0.2">
      <c r="A162" t="s">
        <v>322</v>
      </c>
      <c r="B162" t="s">
        <v>323</v>
      </c>
      <c r="C162" s="4">
        <f>IFERROR(IF(VLOOKUP(B162,Old!$A:$B,2,FALSE)="","",VLOOKUP(B162,Old!$A:$B,2,FALSE)),"Non trouvé")</f>
        <v>210</v>
      </c>
    </row>
    <row r="163" spans="1:3" x14ac:dyDescent="0.2">
      <c r="A163" t="s">
        <v>324</v>
      </c>
      <c r="B163" t="s">
        <v>325</v>
      </c>
      <c r="C163" s="4">
        <f>IFERROR(IF(VLOOKUP(B163,Old!$A:$B,2,FALSE)="","",VLOOKUP(B163,Old!$A:$B,2,FALSE)),"Non trouvé")</f>
        <v>930</v>
      </c>
    </row>
    <row r="164" spans="1:3" x14ac:dyDescent="0.2">
      <c r="A164" t="s">
        <v>326</v>
      </c>
      <c r="B164" t="s">
        <v>327</v>
      </c>
      <c r="C164" s="4">
        <f>IFERROR(IF(VLOOKUP(B164,Old!$A:$B,2,FALSE)="","",VLOOKUP(B164,Old!$A:$B,2,FALSE)),"Non trouvé")</f>
        <v>920</v>
      </c>
    </row>
    <row r="165" spans="1:3" x14ac:dyDescent="0.2">
      <c r="A165" t="s">
        <v>328</v>
      </c>
      <c r="B165" t="s">
        <v>329</v>
      </c>
      <c r="C165" s="4">
        <f>IFERROR(IF(VLOOKUP(B165,Old!$A:$B,2,FALSE)="","",VLOOKUP(B165,Old!$A:$B,2,FALSE)),"Non trouvé")</f>
        <v>93</v>
      </c>
    </row>
    <row r="166" spans="1:3" x14ac:dyDescent="0.2">
      <c r="A166" t="s">
        <v>330</v>
      </c>
      <c r="B166" t="s">
        <v>331</v>
      </c>
      <c r="C166" s="4">
        <f>IFERROR(IF(VLOOKUP(B166,Old!$A:$B,2,FALSE)="","",VLOOKUP(B166,Old!$A:$B,2,FALSE)),"Non trouvé")</f>
        <v>436</v>
      </c>
    </row>
    <row r="167" spans="1:3" x14ac:dyDescent="0.2">
      <c r="A167" t="s">
        <v>332</v>
      </c>
      <c r="B167" t="s">
        <v>333</v>
      </c>
      <c r="C167" s="4">
        <f>IFERROR(IF(VLOOKUP(B167,Old!$A:$B,2,FALSE)="","",VLOOKUP(B167,Old!$A:$B,2,FALSE)),"Non trouvé")</f>
        <v>475</v>
      </c>
    </row>
    <row r="168" spans="1:3" x14ac:dyDescent="0.2">
      <c r="A168" t="s">
        <v>334</v>
      </c>
      <c r="B168" t="s">
        <v>335</v>
      </c>
      <c r="C168" s="4">
        <f>IFERROR(IF(VLOOKUP(B168,Old!$A:$B,2,FALSE)="","",VLOOKUP(B168,Old!$A:$B,2,FALSE)),"Non trouvé")</f>
        <v>343</v>
      </c>
    </row>
    <row r="169" spans="1:3" x14ac:dyDescent="0.2">
      <c r="A169" t="s">
        <v>336</v>
      </c>
      <c r="B169" t="s">
        <v>337</v>
      </c>
      <c r="C169" s="4">
        <f>IFERROR(IF(VLOOKUP(B169,Old!$A:$B,2,FALSE)="","",VLOOKUP(B169,Old!$A:$B,2,FALSE)),"Non trouvé")</f>
        <v>385</v>
      </c>
    </row>
    <row r="170" spans="1:3" x14ac:dyDescent="0.2">
      <c r="A170" t="s">
        <v>338</v>
      </c>
      <c r="B170" t="s">
        <v>339</v>
      </c>
      <c r="C170" s="4">
        <f>IFERROR(IF(VLOOKUP(B170,Old!$A:$B,2,FALSE)="","",VLOOKUP(B170,Old!$A:$B,2,FALSE)),"Non trouvé")</f>
        <v>698</v>
      </c>
    </row>
    <row r="171" spans="1:3" x14ac:dyDescent="0.2">
      <c r="A171" t="s">
        <v>340</v>
      </c>
      <c r="B171" t="s">
        <v>341</v>
      </c>
    </row>
    <row r="172" spans="1:3" x14ac:dyDescent="0.2">
      <c r="A172" t="s">
        <v>342</v>
      </c>
      <c r="B172" t="s">
        <v>343</v>
      </c>
      <c r="C172" s="4">
        <f>IFERROR(IF(VLOOKUP(B172,Old!$A:$B,2,FALSE)="","",VLOOKUP(B172,Old!$A:$B,2,FALSE)),"Non trouvé")</f>
        <v>770</v>
      </c>
    </row>
    <row r="173" spans="1:3" x14ac:dyDescent="0.2">
      <c r="A173" t="s">
        <v>344</v>
      </c>
      <c r="B173" t="s">
        <v>345</v>
      </c>
      <c r="C173" s="4">
        <v>986</v>
      </c>
    </row>
    <row r="174" spans="1:3" x14ac:dyDescent="0.2">
      <c r="A174" t="s">
        <v>346</v>
      </c>
      <c r="B174" t="s">
        <v>347</v>
      </c>
      <c r="C174" s="4">
        <f>IFERROR(IF(VLOOKUP(B174,Old!$A:$B,2,FALSE)="","",VLOOKUP(B174,Old!$A:$B,2,FALSE)),"Non trouvé")</f>
        <v>95</v>
      </c>
    </row>
    <row r="175" spans="1:3" x14ac:dyDescent="0.2">
      <c r="A175" t="s">
        <v>348</v>
      </c>
      <c r="B175" t="s">
        <v>349</v>
      </c>
      <c r="C175" s="4">
        <v>910</v>
      </c>
    </row>
    <row r="176" spans="1:3" x14ac:dyDescent="0.2">
      <c r="A176" t="s">
        <v>350</v>
      </c>
      <c r="B176" t="s">
        <v>351</v>
      </c>
      <c r="C176" s="4">
        <f>IFERROR(IF(VLOOKUP(B176,Old!$A:$B,2,FALSE)="","",VLOOKUP(B176,Old!$A:$B,2,FALSE)),"Non trouvé")</f>
        <v>150</v>
      </c>
    </row>
    <row r="177" spans="1:3" x14ac:dyDescent="0.2">
      <c r="A177" t="s">
        <v>352</v>
      </c>
      <c r="B177" t="s">
        <v>353</v>
      </c>
      <c r="C177" s="4">
        <f>IFERROR(IF(VLOOKUP(B177,Old!$A:$B,2,FALSE)="","",VLOOKUP(B177,Old!$A:$B,2,FALSE)),"Non trouvé")</f>
        <v>135</v>
      </c>
    </row>
    <row r="178" spans="1:3" x14ac:dyDescent="0.2">
      <c r="A178" t="s">
        <v>354</v>
      </c>
      <c r="B178" t="s">
        <v>355</v>
      </c>
      <c r="C178" s="4">
        <f>IFERROR(IF(VLOOKUP(B178,Old!$A:$B,2,FALSE)="","",VLOOKUP(B178,Old!$A:$B,2,FALSE)),"Non trouvé")</f>
        <v>840</v>
      </c>
    </row>
    <row r="179" spans="1:3" x14ac:dyDescent="0.2">
      <c r="A179" t="s">
        <v>356</v>
      </c>
      <c r="B179" t="s">
        <v>357</v>
      </c>
      <c r="C179" s="4">
        <v>290</v>
      </c>
    </row>
    <row r="180" spans="1:3" x14ac:dyDescent="0.2">
      <c r="A180" t="s">
        <v>358</v>
      </c>
      <c r="B180" t="s">
        <v>359</v>
      </c>
      <c r="C180" s="4">
        <f>IFERROR(IF(VLOOKUP(B180,Old!$A:$B,2,FALSE)="","",VLOOKUP(B180,Old!$A:$B,2,FALSE)),"Non trouvé")</f>
        <v>235</v>
      </c>
    </row>
    <row r="181" spans="1:3" x14ac:dyDescent="0.2">
      <c r="A181" t="s">
        <v>360</v>
      </c>
      <c r="B181" t="s">
        <v>361</v>
      </c>
      <c r="C181" s="4">
        <f>IFERROR(IF(VLOOKUP(B181,Old!$A:$B,2,FALSE)="","",VLOOKUP(B181,Old!$A:$B,2,FALSE)),"Non trouvé")</f>
        <v>694</v>
      </c>
    </row>
    <row r="182" spans="1:3" x14ac:dyDescent="0.2">
      <c r="A182" t="s">
        <v>362</v>
      </c>
      <c r="B182" t="s">
        <v>363</v>
      </c>
      <c r="C182" s="4">
        <f>IFERROR(IF(VLOOKUP(B182,Old!$A:$B,2,FALSE)="","",VLOOKUP(B182,Old!$A:$B,2,FALSE)),"Non trouvé")</f>
        <v>360</v>
      </c>
    </row>
    <row r="183" spans="1:3" x14ac:dyDescent="0.2">
      <c r="A183" t="s">
        <v>364</v>
      </c>
      <c r="B183" t="s">
        <v>365</v>
      </c>
      <c r="C183" s="4">
        <f>IFERROR(IF(VLOOKUP(B183,Old!$A:$B,2,FALSE)="","",VLOOKUP(B183,Old!$A:$B,2,FALSE)),"Non trouvé")</f>
        <v>365</v>
      </c>
    </row>
    <row r="184" spans="1:3" x14ac:dyDescent="0.2">
      <c r="A184" t="s">
        <v>366</v>
      </c>
      <c r="B184" t="s">
        <v>367</v>
      </c>
      <c r="C184" s="4">
        <v>517</v>
      </c>
    </row>
    <row r="185" spans="1:3" x14ac:dyDescent="0.2">
      <c r="A185" t="s">
        <v>368</v>
      </c>
      <c r="B185" t="s">
        <v>369</v>
      </c>
      <c r="C185" s="4">
        <v>990</v>
      </c>
    </row>
    <row r="186" spans="1:3" x14ac:dyDescent="0.2">
      <c r="A186" t="s">
        <v>370</v>
      </c>
      <c r="B186" t="s">
        <v>371</v>
      </c>
      <c r="C186" s="4">
        <v>331</v>
      </c>
    </row>
    <row r="187" spans="1:3" x14ac:dyDescent="0.2">
      <c r="A187" t="s">
        <v>372</v>
      </c>
      <c r="B187" t="s">
        <v>373</v>
      </c>
      <c r="C187" s="4">
        <f>IFERROR(IF(VLOOKUP(B187,Old!$A:$B,2,FALSE)="","",VLOOKUP(B187,Old!$A:$B,2,FALSE)),"Non trouvé")</f>
        <v>670</v>
      </c>
    </row>
    <row r="188" spans="1:3" x14ac:dyDescent="0.2">
      <c r="A188" t="s">
        <v>374</v>
      </c>
      <c r="B188" t="s">
        <v>375</v>
      </c>
      <c r="C188" s="4">
        <f>IFERROR(IF(VLOOKUP(B188,Old!$A:$B,2,FALSE)="","",VLOOKUP(B188,Old!$A:$B,2,FALSE)),"Non trouvé")</f>
        <v>433</v>
      </c>
    </row>
    <row r="189" spans="1:3" x14ac:dyDescent="0.2">
      <c r="A189" t="s">
        <v>376</v>
      </c>
      <c r="B189" t="s">
        <v>377</v>
      </c>
      <c r="C189" s="3">
        <f>IFERROR(IF(VLOOKUP(B189,Old!$A:$B,2,FALSE)="","",VLOOKUP(B189,Old!$A:$B,2,FALSE)),"Non trouvé")</f>
        <v>348</v>
      </c>
    </row>
    <row r="190" spans="1:3" x14ac:dyDescent="0.2">
      <c r="A190" t="s">
        <v>378</v>
      </c>
      <c r="B190" t="s">
        <v>379</v>
      </c>
      <c r="C190" s="3">
        <v>348</v>
      </c>
    </row>
    <row r="191" spans="1:3" x14ac:dyDescent="0.2">
      <c r="A191" t="s">
        <v>380</v>
      </c>
      <c r="B191" t="s">
        <v>381</v>
      </c>
      <c r="C191" s="4">
        <f>IFERROR(IF(VLOOKUP(B191,Old!$A:$B,2,FALSE)="","",VLOOKUP(B191,Old!$A:$B,2,FALSE)),"Non trouvé")</f>
        <v>591</v>
      </c>
    </row>
    <row r="192" spans="1:3" x14ac:dyDescent="0.2">
      <c r="A192" t="s">
        <v>382</v>
      </c>
      <c r="B192" t="s">
        <v>383</v>
      </c>
      <c r="C192" s="4">
        <f>IFERROR(IF(VLOOKUP(B192,Old!$A:$B,2,FALSE)="","",VLOOKUP(B192,Old!$A:$B,2,FALSE)),"Non trouvé")</f>
        <v>451</v>
      </c>
    </row>
    <row r="193" spans="1:3" x14ac:dyDescent="0.2">
      <c r="A193" t="s">
        <v>384</v>
      </c>
      <c r="B193" t="s">
        <v>385</v>
      </c>
      <c r="C193" s="4">
        <f>IFERROR(IF(VLOOKUP(B193,Old!$A:$B,2,FALSE)="","",VLOOKUP(B193,Old!$A:$B,2,FALSE)),"Non trouvé")</f>
        <v>830</v>
      </c>
    </row>
    <row r="194" spans="1:3" x14ac:dyDescent="0.2">
      <c r="A194" t="s">
        <v>386</v>
      </c>
      <c r="B194" t="s">
        <v>387</v>
      </c>
      <c r="C194" s="4">
        <f>IFERROR(IF(VLOOKUP(B194,Old!$A:$B,2,FALSE)="","",VLOOKUP(B194,Old!$A:$B,2,FALSE)),"Non trouvé")</f>
        <v>1073</v>
      </c>
    </row>
    <row r="195" spans="1:3" x14ac:dyDescent="0.2">
      <c r="A195" t="s">
        <v>388</v>
      </c>
      <c r="B195" t="s">
        <v>389</v>
      </c>
      <c r="C195" s="4">
        <v>317</v>
      </c>
    </row>
    <row r="196" spans="1:3" x14ac:dyDescent="0.2">
      <c r="A196" t="s">
        <v>390</v>
      </c>
      <c r="B196" t="s">
        <v>391</v>
      </c>
      <c r="C196" s="4">
        <v>349</v>
      </c>
    </row>
    <row r="197" spans="1:3" x14ac:dyDescent="0.2">
      <c r="A197" t="s">
        <v>392</v>
      </c>
      <c r="B197" t="s">
        <v>393</v>
      </c>
      <c r="C197" s="4">
        <f>IFERROR(IF(VLOOKUP(B197,Old!$A:$B,2,FALSE)="","",VLOOKUP(B197,Old!$A:$B,2,FALSE)),"Non trouvé")</f>
        <v>940</v>
      </c>
    </row>
    <row r="198" spans="1:3" x14ac:dyDescent="0.2">
      <c r="A198" t="s">
        <v>394</v>
      </c>
      <c r="B198" t="s">
        <v>395</v>
      </c>
      <c r="C198" s="4">
        <v>520</v>
      </c>
    </row>
    <row r="199" spans="1:3" x14ac:dyDescent="0.2">
      <c r="A199" t="s">
        <v>396</v>
      </c>
      <c r="B199" t="s">
        <v>397</v>
      </c>
      <c r="C199" s="4">
        <f>IFERROR(IF(VLOOKUP(B199,Old!$A:$B,2,FALSE)="","",VLOOKUP(B199,Old!$A:$B,2,FALSE)),"Non trouvé")</f>
        <v>560</v>
      </c>
    </row>
    <row r="200" spans="1:3" x14ac:dyDescent="0.2">
      <c r="A200" t="s">
        <v>398</v>
      </c>
      <c r="B200" t="s">
        <v>399</v>
      </c>
      <c r="C200" s="4">
        <v>626</v>
      </c>
    </row>
    <row r="201" spans="1:3" x14ac:dyDescent="0.2">
      <c r="A201" t="s">
        <v>400</v>
      </c>
      <c r="B201" t="s">
        <v>401</v>
      </c>
      <c r="C201" s="4">
        <f>IFERROR(IF(VLOOKUP(B201,Old!$A:$B,2,FALSE)="","",VLOOKUP(B201,Old!$A:$B,2,FALSE)),"Non trouvé")</f>
        <v>230</v>
      </c>
    </row>
    <row r="202" spans="1:3" x14ac:dyDescent="0.2">
      <c r="A202" t="s">
        <v>402</v>
      </c>
      <c r="B202" t="s">
        <v>403</v>
      </c>
      <c r="C202" t="str">
        <f>IFERROR(IF(VLOOKUP(B202,Old!$A:$B,2,FALSE)="","",VLOOKUP(B202,Old!$A:$B,2,FALSE)),"Non trouvé")</f>
        <v/>
      </c>
    </row>
    <row r="203" spans="1:3" x14ac:dyDescent="0.2">
      <c r="A203" t="s">
        <v>404</v>
      </c>
      <c r="B203" t="s">
        <v>405</v>
      </c>
      <c r="C203" s="4">
        <f>IFERROR(IF(VLOOKUP(B203,Old!$A:$B,2,FALSE)="","",VLOOKUP(B203,Old!$A:$B,2,FALSE)),"Non trouvé")</f>
        <v>780</v>
      </c>
    </row>
    <row r="204" spans="1:3" x14ac:dyDescent="0.2">
      <c r="A204" t="s">
        <v>406</v>
      </c>
      <c r="B204" t="s">
        <v>407</v>
      </c>
      <c r="C204" s="4">
        <v>60</v>
      </c>
    </row>
    <row r="205" spans="1:3" x14ac:dyDescent="0.2">
      <c r="A205" t="s">
        <v>408</v>
      </c>
      <c r="B205" t="s">
        <v>409</v>
      </c>
      <c r="C205" s="4">
        <f>IFERROR(IF(VLOOKUP(B205,Old!$A:$B,2,FALSE)="","",VLOOKUP(B205,Old!$A:$B,2,FALSE)),"Non trouvé")</f>
        <v>56</v>
      </c>
    </row>
    <row r="206" spans="1:3" x14ac:dyDescent="0.2">
      <c r="A206" t="s">
        <v>410</v>
      </c>
      <c r="B206" t="s">
        <v>411</v>
      </c>
      <c r="C206" s="4">
        <f>IFERROR(IF(VLOOKUP(B206,Old!$A:$B,2,FALSE)="","",VLOOKUP(B206,Old!$A:$B,2,FALSE)),"Non trouvé")</f>
        <v>57</v>
      </c>
    </row>
    <row r="207" spans="1:3" x14ac:dyDescent="0.2">
      <c r="A207" t="s">
        <v>412</v>
      </c>
      <c r="B207" t="s">
        <v>413</v>
      </c>
    </row>
    <row r="208" spans="1:3" x14ac:dyDescent="0.2">
      <c r="A208" t="s">
        <v>414</v>
      </c>
      <c r="B208" t="s">
        <v>415</v>
      </c>
      <c r="C208" s="4">
        <f>IFERROR(IF(VLOOKUP(B208,Old!$A:$B,2,FALSE)="","",VLOOKUP(B208,Old!$A:$B,2,FALSE)),"Non trouvé")</f>
        <v>625</v>
      </c>
    </row>
    <row r="209" spans="1:3" x14ac:dyDescent="0.2">
      <c r="A209" t="s">
        <v>416</v>
      </c>
      <c r="B209" t="s">
        <v>417</v>
      </c>
      <c r="C209" s="4">
        <f>IFERROR(IF(VLOOKUP(B209,Old!$A:$B,2,FALSE)="","",VLOOKUP(B209,Old!$A:$B,2,FALSE)),"Non trouvé")</f>
        <v>115</v>
      </c>
    </row>
    <row r="210" spans="1:3" x14ac:dyDescent="0.2">
      <c r="A210" t="s">
        <v>418</v>
      </c>
      <c r="B210" t="s">
        <v>419</v>
      </c>
      <c r="C210" s="4">
        <f>IFERROR(IF(VLOOKUP(B210,Old!$A:$B,2,FALSE)="","",VLOOKUP(B210,Old!$A:$B,2,FALSE)),"Non trouvé")</f>
        <v>380</v>
      </c>
    </row>
    <row r="211" spans="1:3" x14ac:dyDescent="0.2">
      <c r="A211" t="s">
        <v>420</v>
      </c>
      <c r="B211" t="s">
        <v>421</v>
      </c>
      <c r="C211" s="4">
        <f>IFERROR(IF(VLOOKUP(B211,Old!$A:$B,2,FALSE)="","",VLOOKUP(B211,Old!$A:$B,2,FALSE)),"Non trouvé")</f>
        <v>225</v>
      </c>
    </row>
    <row r="212" spans="1:3" x14ac:dyDescent="0.2">
      <c r="A212" t="s">
        <v>422</v>
      </c>
      <c r="B212" t="s">
        <v>423</v>
      </c>
      <c r="C212" s="4">
        <v>652</v>
      </c>
    </row>
    <row r="213" spans="1:3" x14ac:dyDescent="0.2">
      <c r="A213" t="s">
        <v>424</v>
      </c>
      <c r="B213" t="s">
        <v>425</v>
      </c>
      <c r="C213" s="4">
        <v>403</v>
      </c>
    </row>
    <row r="214" spans="1:3" x14ac:dyDescent="0.2">
      <c r="A214" t="s">
        <v>426</v>
      </c>
      <c r="B214" t="s">
        <v>427</v>
      </c>
      <c r="C214" s="4">
        <f>IFERROR(IF(VLOOKUP(B214,Old!$A:$B,2,FALSE)="","",VLOOKUP(B214,Old!$A:$B,2,FALSE)),"Non trouvé")</f>
        <v>713</v>
      </c>
    </row>
    <row r="215" spans="1:3" x14ac:dyDescent="0.2">
      <c r="A215" t="s">
        <v>428</v>
      </c>
      <c r="B215" t="s">
        <v>429</v>
      </c>
      <c r="C215" s="4">
        <v>702</v>
      </c>
    </row>
    <row r="216" spans="1:3" x14ac:dyDescent="0.2">
      <c r="A216" t="s">
        <v>430</v>
      </c>
      <c r="B216" t="s">
        <v>431</v>
      </c>
      <c r="C216" s="4">
        <v>512</v>
      </c>
    </row>
    <row r="217" spans="1:3" x14ac:dyDescent="0.2">
      <c r="A217" t="s">
        <v>432</v>
      </c>
      <c r="B217" t="s">
        <v>433</v>
      </c>
      <c r="C217" s="4">
        <f>IFERROR(IF(VLOOKUP(B217,Old!$A:$B,2,FALSE)="","",VLOOKUP(B217,Old!$A:$B,2,FALSE)),"Non trouvé")</f>
        <v>800</v>
      </c>
    </row>
    <row r="218" spans="1:3" x14ac:dyDescent="0.2">
      <c r="A218" t="s">
        <v>434</v>
      </c>
      <c r="B218" t="s">
        <v>435</v>
      </c>
      <c r="C218" s="4">
        <v>860</v>
      </c>
    </row>
    <row r="219" spans="1:3" x14ac:dyDescent="0.2">
      <c r="A219" t="s">
        <v>436</v>
      </c>
      <c r="B219" t="s">
        <v>437</v>
      </c>
      <c r="C219" s="4">
        <f>IFERROR(IF(VLOOKUP(B219,Old!$A:$B,2,FALSE)="","",VLOOKUP(B219,Old!$A:$B,2,FALSE)),"Non trouvé")</f>
        <v>461</v>
      </c>
    </row>
    <row r="220" spans="1:3" x14ac:dyDescent="0.2">
      <c r="A220" t="s">
        <v>438</v>
      </c>
      <c r="B220" t="s">
        <v>439</v>
      </c>
      <c r="C220" s="4">
        <f>IFERROR(IF(VLOOKUP(B220,Old!$A:$B,2,FALSE)="","",VLOOKUP(B220,Old!$A:$B,2,FALSE)),"Non trouvé")</f>
        <v>955</v>
      </c>
    </row>
    <row r="221" spans="1:3" x14ac:dyDescent="0.2">
      <c r="A221" t="s">
        <v>440</v>
      </c>
      <c r="B221" t="s">
        <v>441</v>
      </c>
      <c r="C221" s="4">
        <f>IFERROR(IF(VLOOKUP(B221,Old!$A:$B,2,FALSE)="","",VLOOKUP(B221,Old!$A:$B,2,FALSE)),"Non trouvé")</f>
        <v>52</v>
      </c>
    </row>
    <row r="222" spans="1:3" x14ac:dyDescent="0.2">
      <c r="A222" t="s">
        <v>442</v>
      </c>
      <c r="B222" t="s">
        <v>443</v>
      </c>
      <c r="C222" s="4">
        <f>IFERROR(IF(VLOOKUP(B222,Old!$A:$B,2,FALSE)="","",VLOOKUP(B222,Old!$A:$B,2,FALSE)),"Non trouvé")</f>
        <v>616</v>
      </c>
    </row>
    <row r="223" spans="1:3" x14ac:dyDescent="0.2">
      <c r="A223" t="s">
        <v>444</v>
      </c>
      <c r="B223" t="s">
        <v>445</v>
      </c>
      <c r="C223" s="4">
        <f>IFERROR(IF(VLOOKUP(B223,Old!$A:$B,2,FALSE)="","",VLOOKUP(B223,Old!$A:$B,2,FALSE)),"Non trouvé")</f>
        <v>701</v>
      </c>
    </row>
    <row r="224" spans="1:3" x14ac:dyDescent="0.2">
      <c r="A224" t="s">
        <v>446</v>
      </c>
      <c r="B224" t="s">
        <v>447</v>
      </c>
      <c r="C224" s="4">
        <f>IFERROR(IF(VLOOKUP(B224,Old!$A:$B,2,FALSE)="","",VLOOKUP(B224,Old!$A:$B,2,FALSE)),"Non trouvé")</f>
        <v>947</v>
      </c>
    </row>
    <row r="225" spans="1:4" x14ac:dyDescent="0.2">
      <c r="A225" t="s">
        <v>448</v>
      </c>
      <c r="B225" t="s">
        <v>449</v>
      </c>
      <c r="C225" s="4">
        <v>640</v>
      </c>
    </row>
    <row r="226" spans="1:4" x14ac:dyDescent="0.2">
      <c r="A226" t="s">
        <v>450</v>
      </c>
      <c r="B226" t="s">
        <v>451</v>
      </c>
      <c r="C226" s="4">
        <f>IFERROR(IF(VLOOKUP(B226,Old!$A:$B,2,FALSE)="","",VLOOKUP(B226,Old!$A:$B,2,FALSE)),"Non trouvé")</f>
        <v>500</v>
      </c>
    </row>
    <row r="227" spans="1:4" x14ac:dyDescent="0.2">
      <c r="A227" t="s">
        <v>452</v>
      </c>
      <c r="B227" t="s">
        <v>453</v>
      </c>
      <c r="C227" s="4">
        <f>IFERROR(IF(VLOOKUP(B227,Old!$A:$B,2,FALSE)="","",VLOOKUP(B227,Old!$A:$B,2,FALSE)),"Non trouvé")</f>
        <v>369</v>
      </c>
    </row>
    <row r="228" spans="1:4" x14ac:dyDescent="0.2">
      <c r="A228" t="s">
        <v>454</v>
      </c>
      <c r="B228" t="s">
        <v>455</v>
      </c>
      <c r="C228" s="3">
        <v>365</v>
      </c>
    </row>
    <row r="229" spans="1:4" x14ac:dyDescent="0.2">
      <c r="A229" t="s">
        <v>456</v>
      </c>
      <c r="B229" t="s">
        <v>457</v>
      </c>
      <c r="C229" s="4">
        <f>IFERROR(IF(VLOOKUP(B229,Old!$A:$B,2,FALSE)="","",VLOOKUP(B229,Old!$A:$B,2,FALSE)),"Non trouvé")</f>
        <v>696</v>
      </c>
    </row>
    <row r="230" spans="1:4" x14ac:dyDescent="0.2">
      <c r="A230" t="s">
        <v>458</v>
      </c>
      <c r="B230" t="s">
        <v>459</v>
      </c>
      <c r="C230" s="4">
        <f>IFERROR(IF(VLOOKUP(B230,Old!$A:$B,2,FALSE)="","",VLOOKUP(B230,Old!$A:$B,2,FALSE)),"Non trouvé")</f>
        <v>200</v>
      </c>
    </row>
    <row r="231" spans="1:4" x14ac:dyDescent="0.2">
      <c r="A231" t="s">
        <v>460</v>
      </c>
      <c r="B231" t="s">
        <v>461</v>
      </c>
      <c r="C231" s="4">
        <f>IFERROR(IF(VLOOKUP(B231,Old!$A:$B,2,FALSE)="","",VLOOKUP(B231,Old!$A:$B,2,FALSE)),"Non trouvé")</f>
        <v>2</v>
      </c>
    </row>
    <row r="232" spans="1:4" x14ac:dyDescent="0.2">
      <c r="A232" t="s">
        <v>462</v>
      </c>
      <c r="B232" t="s">
        <v>463</v>
      </c>
      <c r="C232" s="4">
        <f>IFERROR(IF(VLOOKUP(B232,Old!$A:$B,2,FALSE)="","",VLOOKUP(B232,Old!$A:$B,2,FALSE)),"Non trouvé")</f>
        <v>165</v>
      </c>
    </row>
    <row r="233" spans="1:4" x14ac:dyDescent="0.2">
      <c r="A233" t="s">
        <v>464</v>
      </c>
      <c r="B233" t="s">
        <v>465</v>
      </c>
      <c r="C233" s="4">
        <v>704</v>
      </c>
    </row>
    <row r="234" spans="1:4" x14ac:dyDescent="0.2">
      <c r="A234" t="s">
        <v>466</v>
      </c>
      <c r="B234" t="s">
        <v>467</v>
      </c>
      <c r="C234" s="4">
        <f>IFERROR(IF(VLOOKUP(B234,Old!$A:$B,2,FALSE)="","",VLOOKUP(B234,Old!$A:$B,2,FALSE)),"Non trouvé")</f>
        <v>935</v>
      </c>
    </row>
    <row r="235" spans="1:4" x14ac:dyDescent="0.2">
      <c r="A235" t="s">
        <v>468</v>
      </c>
      <c r="B235" t="s">
        <v>469</v>
      </c>
      <c r="C235" s="4">
        <v>101</v>
      </c>
    </row>
    <row r="236" spans="1:4" x14ac:dyDescent="0.2">
      <c r="A236" t="s">
        <v>470</v>
      </c>
      <c r="B236" t="s">
        <v>471</v>
      </c>
      <c r="C236" s="4">
        <f>IFERROR(IF(VLOOKUP(B236,Old!$A:$B,2,FALSE)="","",VLOOKUP(B236,Old!$A:$B,2,FALSE)),"Non trouvé")</f>
        <v>815</v>
      </c>
    </row>
    <row r="237" spans="1:4" x14ac:dyDescent="0.2">
      <c r="A237" t="s">
        <v>472</v>
      </c>
      <c r="B237" t="s">
        <v>473</v>
      </c>
      <c r="C237" s="4">
        <f>IFERROR(IF(VLOOKUP(B237,Old!$A:$B,2,FALSE)="","",VLOOKUP(B237,Old!$A:$B,2,FALSE)),"Non trouvé")</f>
        <v>6631</v>
      </c>
    </row>
    <row r="238" spans="1:4" x14ac:dyDescent="0.2">
      <c r="A238" t="s">
        <v>474</v>
      </c>
      <c r="B238" t="s">
        <v>475</v>
      </c>
      <c r="C238" t="str">
        <f>IFERROR(IF(VLOOKUP(B238,Old!$A:$B,2,FALSE)="","",VLOOKUP(B238,Old!$A:$B,2,FALSE)),"Non trouvé")</f>
        <v/>
      </c>
    </row>
    <row r="239" spans="1:4" x14ac:dyDescent="0.2">
      <c r="A239" t="s">
        <v>476</v>
      </c>
      <c r="B239" t="s">
        <v>477</v>
      </c>
      <c r="C239" t="str">
        <f>IFERROR(IF(VLOOKUP(B239,Old!$A:$B,2,FALSE)="","",VLOOKUP(B239,Old!$A:$B,2,FALSE)),"Non trouvé")</f>
        <v/>
      </c>
    </row>
    <row r="240" spans="1:4" x14ac:dyDescent="0.2">
      <c r="A240" t="s">
        <v>478</v>
      </c>
      <c r="B240" t="s">
        <v>479</v>
      </c>
      <c r="C240" s="4">
        <v>678</v>
      </c>
      <c r="D240" s="5"/>
    </row>
    <row r="241" spans="1:4" x14ac:dyDescent="0.2">
      <c r="A241" t="s">
        <v>480</v>
      </c>
      <c r="B241" t="s">
        <v>481</v>
      </c>
      <c r="C241" s="4">
        <v>680</v>
      </c>
      <c r="D241" s="5"/>
    </row>
    <row r="242" spans="1:4" x14ac:dyDescent="0.2">
      <c r="A242" t="s">
        <v>482</v>
      </c>
      <c r="B242" t="s">
        <v>483</v>
      </c>
      <c r="C242" s="4">
        <v>679</v>
      </c>
      <c r="D242" s="5"/>
    </row>
    <row r="243" spans="1:4" x14ac:dyDescent="0.2">
      <c r="A243" t="s">
        <v>484</v>
      </c>
      <c r="B243" t="s">
        <v>485</v>
      </c>
      <c r="C243" s="4">
        <v>345</v>
      </c>
      <c r="D243" s="5"/>
    </row>
    <row r="244" spans="1:4" x14ac:dyDescent="0.2">
      <c r="A244" t="s">
        <v>486</v>
      </c>
      <c r="B244" t="s">
        <v>487</v>
      </c>
      <c r="C244" s="4">
        <f>IFERROR(IF(VLOOKUP(B244,Old!$A:$B,2,FALSE)="","",VLOOKUP(B244,Old!$A:$B,2,FALSE)),"Non trouvé")</f>
        <v>551</v>
      </c>
      <c r="D244" s="5"/>
    </row>
    <row r="245" spans="1:4" x14ac:dyDescent="0.2">
      <c r="A245" t="s">
        <v>488</v>
      </c>
      <c r="B245" t="s">
        <v>489</v>
      </c>
      <c r="C245" s="4">
        <f>IFERROR(IF(VLOOKUP(B245,Old!$A:$B,2,FALSE)="","",VLOOKUP(B245,Old!$A:$B,2,FALSE)),"Non trouvé")</f>
        <v>552</v>
      </c>
      <c r="D245" s="5"/>
    </row>
    <row r="246" spans="1:4" x14ac:dyDescent="0.2">
      <c r="D246" s="5"/>
    </row>
    <row r="247" spans="1:4" x14ac:dyDescent="0.2">
      <c r="D247" s="5"/>
    </row>
    <row r="248" spans="1:4" x14ac:dyDescent="0.2">
      <c r="D248" s="5"/>
    </row>
  </sheetData>
  <autoFilter ref="A1:C1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37E0-F204-2A40-AF78-89CC91CE89B4}">
  <dimension ref="A1:B245"/>
  <sheetViews>
    <sheetView topLeftCell="A205" workbookViewId="0">
      <selection activeCell="B243" sqref="B243"/>
    </sheetView>
  </sheetViews>
  <sheetFormatPr baseColWidth="10" defaultRowHeight="15" x14ac:dyDescent="0.2"/>
  <cols>
    <col min="1" max="1" width="70.6640625" bestFit="1" customWidth="1"/>
  </cols>
  <sheetData>
    <row r="1" spans="1:2" x14ac:dyDescent="0.2">
      <c r="A1" t="s">
        <v>492</v>
      </c>
      <c r="B1" t="s">
        <v>490</v>
      </c>
    </row>
    <row r="2" spans="1:2" x14ac:dyDescent="0.2">
      <c r="A2" t="s">
        <v>3</v>
      </c>
    </row>
    <row r="3" spans="1:2" x14ac:dyDescent="0.2">
      <c r="A3" t="s">
        <v>493</v>
      </c>
      <c r="B3" s="1">
        <v>700</v>
      </c>
    </row>
    <row r="4" spans="1:2" x14ac:dyDescent="0.2">
      <c r="A4" t="s">
        <v>7</v>
      </c>
    </row>
    <row r="5" spans="1:2" x14ac:dyDescent="0.2">
      <c r="A5" t="s">
        <v>494</v>
      </c>
    </row>
    <row r="6" spans="1:2" x14ac:dyDescent="0.2">
      <c r="A6" s="2" t="s">
        <v>11</v>
      </c>
      <c r="B6">
        <v>339</v>
      </c>
    </row>
    <row r="7" spans="1:2" x14ac:dyDescent="0.2">
      <c r="A7" s="2" t="s">
        <v>13</v>
      </c>
      <c r="B7">
        <v>615</v>
      </c>
    </row>
    <row r="8" spans="1:2" x14ac:dyDescent="0.2">
      <c r="A8" s="2" t="s">
        <v>15</v>
      </c>
      <c r="B8">
        <v>991</v>
      </c>
    </row>
    <row r="9" spans="1:2" x14ac:dyDescent="0.2">
      <c r="A9" s="2" t="s">
        <v>17</v>
      </c>
      <c r="B9">
        <v>540</v>
      </c>
    </row>
    <row r="10" spans="1:2" x14ac:dyDescent="0.2">
      <c r="A10" s="2" t="s">
        <v>495</v>
      </c>
      <c r="B10">
        <v>1062</v>
      </c>
    </row>
    <row r="11" spans="1:2" x14ac:dyDescent="0.2">
      <c r="A11" s="2" t="s">
        <v>21</v>
      </c>
      <c r="B11">
        <v>58</v>
      </c>
    </row>
    <row r="12" spans="1:2" x14ac:dyDescent="0.2">
      <c r="A12" t="s">
        <v>23</v>
      </c>
      <c r="B12">
        <v>160</v>
      </c>
    </row>
    <row r="13" spans="1:2" x14ac:dyDescent="0.2">
      <c r="A13" t="s">
        <v>491</v>
      </c>
      <c r="B13">
        <v>371</v>
      </c>
    </row>
    <row r="14" spans="1:2" x14ac:dyDescent="0.2">
      <c r="A14" t="s">
        <v>27</v>
      </c>
      <c r="B14">
        <v>1069</v>
      </c>
    </row>
    <row r="15" spans="1:2" x14ac:dyDescent="0.2">
      <c r="A15" t="s">
        <v>496</v>
      </c>
    </row>
    <row r="16" spans="1:2" x14ac:dyDescent="0.2">
      <c r="A16" t="s">
        <v>31</v>
      </c>
      <c r="B16">
        <v>900</v>
      </c>
    </row>
    <row r="17" spans="1:2" x14ac:dyDescent="0.2">
      <c r="A17" t="s">
        <v>33</v>
      </c>
      <c r="B17">
        <v>305</v>
      </c>
    </row>
    <row r="18" spans="1:2" x14ac:dyDescent="0.2">
      <c r="A18" t="s">
        <v>497</v>
      </c>
      <c r="B18">
        <v>373</v>
      </c>
    </row>
    <row r="19" spans="1:2" x14ac:dyDescent="0.2">
      <c r="A19" t="s">
        <v>37</v>
      </c>
      <c r="B19">
        <v>31</v>
      </c>
    </row>
    <row r="20" spans="1:2" x14ac:dyDescent="0.2">
      <c r="A20" t="s">
        <v>39</v>
      </c>
      <c r="B20">
        <v>692</v>
      </c>
    </row>
    <row r="21" spans="1:2" x14ac:dyDescent="0.2">
      <c r="A21" t="s">
        <v>41</v>
      </c>
      <c r="B21">
        <v>771</v>
      </c>
    </row>
    <row r="22" spans="1:2" x14ac:dyDescent="0.2">
      <c r="A22" t="s">
        <v>43</v>
      </c>
      <c r="B22">
        <v>53</v>
      </c>
    </row>
    <row r="23" spans="1:2" x14ac:dyDescent="0.2">
      <c r="A23" t="s">
        <v>498</v>
      </c>
      <c r="B23">
        <v>370</v>
      </c>
    </row>
    <row r="24" spans="1:2" x14ac:dyDescent="0.2">
      <c r="A24" t="s">
        <v>47</v>
      </c>
      <c r="B24">
        <v>211</v>
      </c>
    </row>
    <row r="25" spans="1:2" x14ac:dyDescent="0.2">
      <c r="A25" t="s">
        <v>49</v>
      </c>
    </row>
    <row r="26" spans="1:2" x14ac:dyDescent="0.2">
      <c r="A26" t="s">
        <v>51</v>
      </c>
      <c r="B26">
        <v>80</v>
      </c>
    </row>
    <row r="27" spans="1:2" x14ac:dyDescent="0.2">
      <c r="A27" t="s">
        <v>53</v>
      </c>
      <c r="B27">
        <v>434</v>
      </c>
    </row>
    <row r="28" spans="1:2" x14ac:dyDescent="0.2">
      <c r="A28" t="s">
        <v>55</v>
      </c>
      <c r="B28">
        <v>30</v>
      </c>
    </row>
    <row r="29" spans="1:2" x14ac:dyDescent="0.2">
      <c r="A29" t="s">
        <v>57</v>
      </c>
      <c r="B29">
        <v>760</v>
      </c>
    </row>
    <row r="30" spans="1:2" x14ac:dyDescent="0.2">
      <c r="A30" t="s">
        <v>59</v>
      </c>
      <c r="B30">
        <v>145</v>
      </c>
    </row>
    <row r="31" spans="1:2" x14ac:dyDescent="0.2">
      <c r="A31" t="s">
        <v>61</v>
      </c>
      <c r="B31">
        <v>346</v>
      </c>
    </row>
    <row r="32" spans="1:2" x14ac:dyDescent="0.2">
      <c r="A32" t="s">
        <v>63</v>
      </c>
      <c r="B32">
        <v>571</v>
      </c>
    </row>
    <row r="33" spans="1:2" x14ac:dyDescent="0.2">
      <c r="A33" t="s">
        <v>65</v>
      </c>
      <c r="B33">
        <v>140</v>
      </c>
    </row>
    <row r="34" spans="1:2" x14ac:dyDescent="0.2">
      <c r="A34" t="s">
        <v>67</v>
      </c>
      <c r="B34">
        <v>835</v>
      </c>
    </row>
    <row r="35" spans="1:2" x14ac:dyDescent="0.2">
      <c r="A35" t="s">
        <v>69</v>
      </c>
      <c r="B35">
        <v>355</v>
      </c>
    </row>
    <row r="36" spans="1:2" x14ac:dyDescent="0.2">
      <c r="A36" t="s">
        <v>71</v>
      </c>
      <c r="B36">
        <v>439</v>
      </c>
    </row>
    <row r="37" spans="1:2" x14ac:dyDescent="0.2">
      <c r="A37" t="s">
        <v>73</v>
      </c>
      <c r="B37">
        <v>516</v>
      </c>
    </row>
    <row r="38" spans="1:2" x14ac:dyDescent="0.2">
      <c r="A38" t="s">
        <v>77</v>
      </c>
      <c r="B38">
        <v>402</v>
      </c>
    </row>
    <row r="39" spans="1:2" x14ac:dyDescent="0.2">
      <c r="A39" t="s">
        <v>79</v>
      </c>
      <c r="B39">
        <v>811</v>
      </c>
    </row>
    <row r="40" spans="1:2" x14ac:dyDescent="0.2">
      <c r="A40" t="s">
        <v>81</v>
      </c>
      <c r="B40">
        <v>471</v>
      </c>
    </row>
    <row r="41" spans="1:2" x14ac:dyDescent="0.2">
      <c r="A41" t="s">
        <v>83</v>
      </c>
      <c r="B41">
        <v>20</v>
      </c>
    </row>
    <row r="42" spans="1:2" x14ac:dyDescent="0.2">
      <c r="A42" t="s">
        <v>499</v>
      </c>
      <c r="B42">
        <v>482</v>
      </c>
    </row>
    <row r="43" spans="1:2" x14ac:dyDescent="0.2">
      <c r="A43" t="s">
        <v>87</v>
      </c>
      <c r="B43">
        <v>483</v>
      </c>
    </row>
    <row r="44" spans="1:2" x14ac:dyDescent="0.2">
      <c r="A44" t="s">
        <v>89</v>
      </c>
      <c r="B44">
        <v>155</v>
      </c>
    </row>
    <row r="45" spans="1:2" x14ac:dyDescent="0.2">
      <c r="A45" t="s">
        <v>500</v>
      </c>
      <c r="B45">
        <v>720</v>
      </c>
    </row>
    <row r="46" spans="1:2" x14ac:dyDescent="0.2">
      <c r="A46" t="s">
        <v>501</v>
      </c>
      <c r="B46">
        <v>721</v>
      </c>
    </row>
    <row r="47" spans="1:2" x14ac:dyDescent="0.2">
      <c r="A47" t="s">
        <v>502</v>
      </c>
      <c r="B47">
        <v>710</v>
      </c>
    </row>
    <row r="48" spans="1:2" x14ac:dyDescent="0.2">
      <c r="A48" t="s">
        <v>75</v>
      </c>
    </row>
    <row r="49" spans="1:2" x14ac:dyDescent="0.2">
      <c r="A49" t="s">
        <v>93</v>
      </c>
      <c r="B49">
        <v>100</v>
      </c>
    </row>
    <row r="50" spans="1:2" x14ac:dyDescent="0.2">
      <c r="A50" t="s">
        <v>95</v>
      </c>
      <c r="B50">
        <v>581</v>
      </c>
    </row>
    <row r="51" spans="1:2" x14ac:dyDescent="0.2">
      <c r="A51" t="s">
        <v>503</v>
      </c>
      <c r="B51">
        <v>490</v>
      </c>
    </row>
    <row r="52" spans="1:2" x14ac:dyDescent="0.2">
      <c r="A52" t="s">
        <v>504</v>
      </c>
      <c r="B52">
        <v>484</v>
      </c>
    </row>
    <row r="53" spans="1:2" x14ac:dyDescent="0.2">
      <c r="A53" t="s">
        <v>101</v>
      </c>
      <c r="B53">
        <v>94</v>
      </c>
    </row>
    <row r="54" spans="1:2" x14ac:dyDescent="0.2">
      <c r="A54" t="s">
        <v>117</v>
      </c>
      <c r="B54">
        <v>437</v>
      </c>
    </row>
    <row r="55" spans="1:2" x14ac:dyDescent="0.2">
      <c r="A55" t="s">
        <v>505</v>
      </c>
    </row>
    <row r="56" spans="1:2" x14ac:dyDescent="0.2">
      <c r="A56" t="s">
        <v>506</v>
      </c>
      <c r="B56">
        <v>344</v>
      </c>
    </row>
    <row r="57" spans="1:2" x14ac:dyDescent="0.2">
      <c r="A57" t="s">
        <v>107</v>
      </c>
      <c r="B57">
        <v>40</v>
      </c>
    </row>
    <row r="58" spans="1:2" x14ac:dyDescent="0.2">
      <c r="A58" t="s">
        <v>507</v>
      </c>
      <c r="B58">
        <v>1065</v>
      </c>
    </row>
    <row r="59" spans="1:2" x14ac:dyDescent="0.2">
      <c r="A59" t="s">
        <v>111</v>
      </c>
      <c r="B59">
        <v>352</v>
      </c>
    </row>
    <row r="60" spans="1:2" x14ac:dyDescent="0.2">
      <c r="A60" t="s">
        <v>508</v>
      </c>
      <c r="B60">
        <v>316</v>
      </c>
    </row>
    <row r="61" spans="1:2" x14ac:dyDescent="0.2">
      <c r="A61" t="s">
        <v>115</v>
      </c>
      <c r="B61">
        <v>315</v>
      </c>
    </row>
    <row r="62" spans="1:2" x14ac:dyDescent="0.2">
      <c r="A62" t="s">
        <v>119</v>
      </c>
      <c r="B62">
        <v>390</v>
      </c>
    </row>
    <row r="63" spans="1:2" x14ac:dyDescent="0.2">
      <c r="A63" t="s">
        <v>121</v>
      </c>
      <c r="B63">
        <v>522</v>
      </c>
    </row>
    <row r="64" spans="1:2" x14ac:dyDescent="0.2">
      <c r="A64" t="s">
        <v>123</v>
      </c>
      <c r="B64">
        <v>54</v>
      </c>
    </row>
    <row r="65" spans="1:2" x14ac:dyDescent="0.2">
      <c r="A65" t="s">
        <v>509</v>
      </c>
      <c r="B65">
        <v>42</v>
      </c>
    </row>
    <row r="66" spans="1:2" x14ac:dyDescent="0.2">
      <c r="A66" t="s">
        <v>510</v>
      </c>
      <c r="B66">
        <v>265</v>
      </c>
    </row>
    <row r="67" spans="1:2" x14ac:dyDescent="0.2">
      <c r="A67" t="s">
        <v>131</v>
      </c>
      <c r="B67">
        <v>130</v>
      </c>
    </row>
    <row r="68" spans="1:2" x14ac:dyDescent="0.2">
      <c r="A68" t="s">
        <v>511</v>
      </c>
      <c r="B68">
        <v>651</v>
      </c>
    </row>
    <row r="69" spans="1:2" x14ac:dyDescent="0.2">
      <c r="A69" t="s">
        <v>135</v>
      </c>
      <c r="B69">
        <v>92</v>
      </c>
    </row>
    <row r="70" spans="1:2" x14ac:dyDescent="0.2">
      <c r="A70" t="s">
        <v>139</v>
      </c>
    </row>
    <row r="71" spans="1:2" x14ac:dyDescent="0.2">
      <c r="A71" t="s">
        <v>512</v>
      </c>
    </row>
    <row r="72" spans="1:2" x14ac:dyDescent="0.2">
      <c r="A72" t="s">
        <v>141</v>
      </c>
    </row>
    <row r="73" spans="1:2" x14ac:dyDescent="0.2">
      <c r="A73" t="s">
        <v>513</v>
      </c>
    </row>
    <row r="74" spans="1:2" x14ac:dyDescent="0.2">
      <c r="A74" t="s">
        <v>514</v>
      </c>
    </row>
    <row r="75" spans="1:2" x14ac:dyDescent="0.2">
      <c r="A75" t="s">
        <v>515</v>
      </c>
      <c r="B75">
        <v>411</v>
      </c>
    </row>
    <row r="76" spans="1:2" x14ac:dyDescent="0.2">
      <c r="A76" t="s">
        <v>145</v>
      </c>
      <c r="B76">
        <v>531</v>
      </c>
    </row>
    <row r="77" spans="1:2" x14ac:dyDescent="0.2">
      <c r="A77" t="s">
        <v>516</v>
      </c>
      <c r="B77">
        <v>366</v>
      </c>
    </row>
    <row r="78" spans="1:2" x14ac:dyDescent="0.2">
      <c r="A78" t="s">
        <v>149</v>
      </c>
      <c r="B78">
        <v>572</v>
      </c>
    </row>
    <row r="79" spans="1:2" x14ac:dyDescent="0.2">
      <c r="A79" t="s">
        <v>517</v>
      </c>
      <c r="B79">
        <v>530</v>
      </c>
    </row>
    <row r="80" spans="1:2" x14ac:dyDescent="0.2">
      <c r="A80" t="s">
        <v>518</v>
      </c>
    </row>
    <row r="81" spans="1:2" x14ac:dyDescent="0.2">
      <c r="A81" t="s">
        <v>519</v>
      </c>
    </row>
    <row r="82" spans="1:2" x14ac:dyDescent="0.2">
      <c r="A82" t="s">
        <v>520</v>
      </c>
    </row>
    <row r="83" spans="1:2" x14ac:dyDescent="0.2">
      <c r="A83" t="s">
        <v>161</v>
      </c>
      <c r="B83">
        <v>1163</v>
      </c>
    </row>
    <row r="84" spans="1:2" x14ac:dyDescent="0.2">
      <c r="A84" t="s">
        <v>163</v>
      </c>
      <c r="B84">
        <v>11</v>
      </c>
    </row>
    <row r="85" spans="1:2" x14ac:dyDescent="0.2">
      <c r="A85" t="s">
        <v>521</v>
      </c>
      <c r="B85">
        <v>950</v>
      </c>
    </row>
    <row r="86" spans="1:2" x14ac:dyDescent="0.2">
      <c r="A86" t="s">
        <v>167</v>
      </c>
      <c r="B86">
        <v>375</v>
      </c>
    </row>
    <row r="87" spans="1:2" x14ac:dyDescent="0.2">
      <c r="A87" t="s">
        <v>169</v>
      </c>
      <c r="B87">
        <v>220</v>
      </c>
    </row>
    <row r="88" spans="1:2" x14ac:dyDescent="0.2">
      <c r="A88" t="s">
        <v>171</v>
      </c>
      <c r="B88">
        <v>960</v>
      </c>
    </row>
    <row r="89" spans="1:2" x14ac:dyDescent="0.2">
      <c r="A89" t="s">
        <v>173</v>
      </c>
      <c r="B89">
        <v>481</v>
      </c>
    </row>
    <row r="90" spans="1:2" x14ac:dyDescent="0.2">
      <c r="A90" t="s">
        <v>175</v>
      </c>
      <c r="B90">
        <v>420</v>
      </c>
    </row>
    <row r="91" spans="1:2" x14ac:dyDescent="0.2">
      <c r="A91" t="s">
        <v>177</v>
      </c>
      <c r="B91">
        <v>372</v>
      </c>
    </row>
    <row r="92" spans="1:2" x14ac:dyDescent="0.2">
      <c r="A92" t="s">
        <v>181</v>
      </c>
      <c r="B92">
        <v>255</v>
      </c>
    </row>
    <row r="93" spans="1:2" x14ac:dyDescent="0.2">
      <c r="A93" t="s">
        <v>183</v>
      </c>
      <c r="B93">
        <v>452</v>
      </c>
    </row>
    <row r="94" spans="1:2" x14ac:dyDescent="0.2">
      <c r="A94" t="s">
        <v>185</v>
      </c>
      <c r="B94">
        <v>231</v>
      </c>
    </row>
    <row r="95" spans="1:2" x14ac:dyDescent="0.2">
      <c r="A95" t="s">
        <v>187</v>
      </c>
      <c r="B95">
        <v>350</v>
      </c>
    </row>
    <row r="96" spans="1:2" x14ac:dyDescent="0.2">
      <c r="A96" t="s">
        <v>189</v>
      </c>
      <c r="B96">
        <v>10</v>
      </c>
    </row>
    <row r="97" spans="1:2" x14ac:dyDescent="0.2">
      <c r="A97" t="s">
        <v>191</v>
      </c>
      <c r="B97">
        <v>55</v>
      </c>
    </row>
    <row r="98" spans="1:2" x14ac:dyDescent="0.2">
      <c r="A98" t="s">
        <v>193</v>
      </c>
      <c r="B98">
        <v>985</v>
      </c>
    </row>
    <row r="99" spans="1:2" x14ac:dyDescent="0.2">
      <c r="A99" t="s">
        <v>195</v>
      </c>
      <c r="B99">
        <v>90</v>
      </c>
    </row>
    <row r="100" spans="1:2" x14ac:dyDescent="0.2">
      <c r="A100" t="s">
        <v>197</v>
      </c>
      <c r="B100">
        <v>438</v>
      </c>
    </row>
    <row r="101" spans="1:2" x14ac:dyDescent="0.2">
      <c r="A101" t="s">
        <v>199</v>
      </c>
      <c r="B101">
        <v>404</v>
      </c>
    </row>
    <row r="102" spans="1:2" x14ac:dyDescent="0.2">
      <c r="A102" t="s">
        <v>201</v>
      </c>
      <c r="B102">
        <v>110</v>
      </c>
    </row>
    <row r="103" spans="1:2" x14ac:dyDescent="0.2">
      <c r="A103" t="s">
        <v>203</v>
      </c>
      <c r="B103">
        <v>41</v>
      </c>
    </row>
    <row r="104" spans="1:2" x14ac:dyDescent="0.2">
      <c r="A104" t="s">
        <v>205</v>
      </c>
      <c r="B104">
        <v>328</v>
      </c>
    </row>
    <row r="105" spans="1:2" x14ac:dyDescent="0.2">
      <c r="A105" t="s">
        <v>207</v>
      </c>
      <c r="B105">
        <v>91</v>
      </c>
    </row>
    <row r="106" spans="1:2" x14ac:dyDescent="0.2">
      <c r="A106" t="s">
        <v>211</v>
      </c>
      <c r="B106">
        <v>310</v>
      </c>
    </row>
    <row r="107" spans="1:2" x14ac:dyDescent="0.2">
      <c r="A107" t="s">
        <v>213</v>
      </c>
      <c r="B107">
        <v>395</v>
      </c>
    </row>
    <row r="108" spans="1:2" x14ac:dyDescent="0.2">
      <c r="A108" t="s">
        <v>215</v>
      </c>
      <c r="B108">
        <v>750</v>
      </c>
    </row>
    <row r="109" spans="1:2" x14ac:dyDescent="0.2">
      <c r="A109" t="s">
        <v>217</v>
      </c>
      <c r="B109">
        <v>850</v>
      </c>
    </row>
    <row r="110" spans="1:2" x14ac:dyDescent="0.2">
      <c r="A110" t="s">
        <v>522</v>
      </c>
      <c r="B110">
        <v>630</v>
      </c>
    </row>
    <row r="111" spans="1:2" x14ac:dyDescent="0.2">
      <c r="A111" t="s">
        <v>221</v>
      </c>
      <c r="B111">
        <v>645</v>
      </c>
    </row>
    <row r="112" spans="1:2" x14ac:dyDescent="0.2">
      <c r="A112" t="s">
        <v>223</v>
      </c>
      <c r="B112">
        <v>205</v>
      </c>
    </row>
    <row r="113" spans="1:2" x14ac:dyDescent="0.2">
      <c r="A113" t="s">
        <v>225</v>
      </c>
      <c r="B113">
        <v>666</v>
      </c>
    </row>
    <row r="114" spans="1:2" x14ac:dyDescent="0.2">
      <c r="A114" t="s">
        <v>227</v>
      </c>
      <c r="B114">
        <v>325</v>
      </c>
    </row>
    <row r="115" spans="1:2" x14ac:dyDescent="0.2">
      <c r="A115" t="s">
        <v>229</v>
      </c>
      <c r="B115">
        <v>51</v>
      </c>
    </row>
    <row r="116" spans="1:2" x14ac:dyDescent="0.2">
      <c r="A116" t="s">
        <v>231</v>
      </c>
      <c r="B116">
        <v>740</v>
      </c>
    </row>
    <row r="117" spans="1:2" x14ac:dyDescent="0.2">
      <c r="A117" t="s">
        <v>233</v>
      </c>
      <c r="B117">
        <v>663</v>
      </c>
    </row>
    <row r="118" spans="1:2" x14ac:dyDescent="0.2">
      <c r="A118" t="s">
        <v>523</v>
      </c>
      <c r="B118">
        <v>705</v>
      </c>
    </row>
    <row r="119" spans="1:2" x14ac:dyDescent="0.2">
      <c r="A119" t="s">
        <v>237</v>
      </c>
      <c r="B119">
        <v>501</v>
      </c>
    </row>
    <row r="120" spans="1:2" x14ac:dyDescent="0.2">
      <c r="A120" t="s">
        <v>239</v>
      </c>
      <c r="B120">
        <v>946</v>
      </c>
    </row>
    <row r="121" spans="1:2" x14ac:dyDescent="0.2">
      <c r="A121" t="s">
        <v>524</v>
      </c>
      <c r="B121">
        <v>731</v>
      </c>
    </row>
    <row r="122" spans="1:2" x14ac:dyDescent="0.2">
      <c r="A122" t="s">
        <v>525</v>
      </c>
      <c r="B122">
        <v>732</v>
      </c>
    </row>
    <row r="123" spans="1:2" x14ac:dyDescent="0.2">
      <c r="A123" t="s">
        <v>526</v>
      </c>
      <c r="B123">
        <v>347</v>
      </c>
    </row>
    <row r="124" spans="1:2" x14ac:dyDescent="0.2">
      <c r="A124" t="s">
        <v>247</v>
      </c>
      <c r="B124">
        <v>690</v>
      </c>
    </row>
    <row r="125" spans="1:2" x14ac:dyDescent="0.2">
      <c r="A125" t="s">
        <v>527</v>
      </c>
      <c r="B125">
        <v>703</v>
      </c>
    </row>
    <row r="126" spans="1:2" x14ac:dyDescent="0.2">
      <c r="A126" t="s">
        <v>528</v>
      </c>
      <c r="B126">
        <v>812</v>
      </c>
    </row>
    <row r="127" spans="1:2" x14ac:dyDescent="0.2">
      <c r="A127" t="s">
        <v>529</v>
      </c>
      <c r="B127">
        <v>367</v>
      </c>
    </row>
    <row r="128" spans="1:2" x14ac:dyDescent="0.2">
      <c r="A128" t="s">
        <v>257</v>
      </c>
      <c r="B128">
        <v>660</v>
      </c>
    </row>
    <row r="129" spans="1:2" x14ac:dyDescent="0.2">
      <c r="A129" t="s">
        <v>259</v>
      </c>
      <c r="B129">
        <v>570</v>
      </c>
    </row>
    <row r="130" spans="1:2" x14ac:dyDescent="0.2">
      <c r="A130" t="s">
        <v>261</v>
      </c>
      <c r="B130">
        <v>450</v>
      </c>
    </row>
    <row r="131" spans="1:2" x14ac:dyDescent="0.2">
      <c r="A131" t="s">
        <v>263</v>
      </c>
      <c r="B131">
        <v>620</v>
      </c>
    </row>
    <row r="132" spans="1:2" x14ac:dyDescent="0.2">
      <c r="A132" t="s">
        <v>530</v>
      </c>
      <c r="B132">
        <v>368</v>
      </c>
    </row>
    <row r="133" spans="1:2" x14ac:dyDescent="0.2">
      <c r="A133" t="s">
        <v>267</v>
      </c>
      <c r="B133">
        <v>212</v>
      </c>
    </row>
    <row r="134" spans="1:2" x14ac:dyDescent="0.2">
      <c r="A134" t="s">
        <v>531</v>
      </c>
      <c r="B134">
        <v>580</v>
      </c>
    </row>
    <row r="135" spans="1:2" x14ac:dyDescent="0.2">
      <c r="A135" t="s">
        <v>273</v>
      </c>
      <c r="B135">
        <v>553</v>
      </c>
    </row>
    <row r="136" spans="1:2" x14ac:dyDescent="0.2">
      <c r="A136" t="s">
        <v>275</v>
      </c>
      <c r="B136">
        <v>820</v>
      </c>
    </row>
    <row r="137" spans="1:2" x14ac:dyDescent="0.2">
      <c r="A137" t="s">
        <v>532</v>
      </c>
    </row>
    <row r="138" spans="1:2" x14ac:dyDescent="0.2">
      <c r="A138" t="s">
        <v>277</v>
      </c>
      <c r="B138">
        <v>781</v>
      </c>
    </row>
    <row r="139" spans="1:2" x14ac:dyDescent="0.2">
      <c r="A139" t="s">
        <v>279</v>
      </c>
      <c r="B139">
        <v>432</v>
      </c>
    </row>
    <row r="140" spans="1:2" x14ac:dyDescent="0.2">
      <c r="A140" t="s">
        <v>281</v>
      </c>
      <c r="B140">
        <v>338</v>
      </c>
    </row>
    <row r="141" spans="1:2" x14ac:dyDescent="0.2">
      <c r="A141" t="s">
        <v>533</v>
      </c>
      <c r="B141">
        <v>983</v>
      </c>
    </row>
    <row r="142" spans="1:2" x14ac:dyDescent="0.2">
      <c r="A142" t="s">
        <v>534</v>
      </c>
      <c r="B142">
        <v>435</v>
      </c>
    </row>
    <row r="143" spans="1:2" x14ac:dyDescent="0.2">
      <c r="A143" t="s">
        <v>287</v>
      </c>
      <c r="B143">
        <v>590</v>
      </c>
    </row>
    <row r="144" spans="1:2" x14ac:dyDescent="0.2">
      <c r="A144" t="s">
        <v>289</v>
      </c>
      <c r="B144">
        <v>70</v>
      </c>
    </row>
    <row r="145" spans="1:2" x14ac:dyDescent="0.2">
      <c r="A145" t="s">
        <v>291</v>
      </c>
      <c r="B145">
        <v>987</v>
      </c>
    </row>
    <row r="146" spans="1:2" x14ac:dyDescent="0.2">
      <c r="A146" t="s">
        <v>293</v>
      </c>
    </row>
    <row r="147" spans="1:2" x14ac:dyDescent="0.2">
      <c r="A147" t="s">
        <v>295</v>
      </c>
    </row>
    <row r="148" spans="1:2" x14ac:dyDescent="0.2">
      <c r="A148" t="s">
        <v>535</v>
      </c>
    </row>
    <row r="149" spans="1:2" x14ac:dyDescent="0.2">
      <c r="A149" t="s">
        <v>536</v>
      </c>
      <c r="B149">
        <v>359</v>
      </c>
    </row>
    <row r="150" spans="1:2" x14ac:dyDescent="0.2">
      <c r="A150" t="s">
        <v>303</v>
      </c>
      <c r="B150">
        <v>712</v>
      </c>
    </row>
    <row r="151" spans="1:2" x14ac:dyDescent="0.2">
      <c r="A151" t="s">
        <v>305</v>
      </c>
      <c r="B151">
        <v>341</v>
      </c>
    </row>
    <row r="152" spans="1:2" x14ac:dyDescent="0.2">
      <c r="A152" t="s">
        <v>537</v>
      </c>
      <c r="B152">
        <v>59</v>
      </c>
    </row>
    <row r="153" spans="1:2" x14ac:dyDescent="0.2">
      <c r="A153" t="s">
        <v>309</v>
      </c>
      <c r="B153">
        <v>600</v>
      </c>
    </row>
    <row r="154" spans="1:2" x14ac:dyDescent="0.2">
      <c r="A154" t="s">
        <v>538</v>
      </c>
      <c r="B154">
        <v>541</v>
      </c>
    </row>
    <row r="155" spans="1:2" x14ac:dyDescent="0.2">
      <c r="A155" t="s">
        <v>313</v>
      </c>
      <c r="B155">
        <v>775</v>
      </c>
    </row>
    <row r="156" spans="1:2" x14ac:dyDescent="0.2">
      <c r="A156" t="s">
        <v>315</v>
      </c>
      <c r="B156">
        <v>565</v>
      </c>
    </row>
    <row r="157" spans="1:2" x14ac:dyDescent="0.2">
      <c r="A157" t="s">
        <v>539</v>
      </c>
      <c r="B157">
        <v>970</v>
      </c>
    </row>
    <row r="158" spans="1:2" x14ac:dyDescent="0.2">
      <c r="A158" t="s">
        <v>319</v>
      </c>
      <c r="B158">
        <v>790</v>
      </c>
    </row>
    <row r="159" spans="1:2" x14ac:dyDescent="0.2">
      <c r="A159" t="s">
        <v>321</v>
      </c>
      <c r="B159">
        <v>68</v>
      </c>
    </row>
    <row r="160" spans="1:2" x14ac:dyDescent="0.2">
      <c r="A160" t="s">
        <v>323</v>
      </c>
      <c r="B160">
        <v>210</v>
      </c>
    </row>
    <row r="161" spans="1:2" x14ac:dyDescent="0.2">
      <c r="A161" t="s">
        <v>325</v>
      </c>
      <c r="B161">
        <v>930</v>
      </c>
    </row>
    <row r="162" spans="1:2" x14ac:dyDescent="0.2">
      <c r="A162" t="s">
        <v>327</v>
      </c>
      <c r="B162">
        <v>920</v>
      </c>
    </row>
    <row r="163" spans="1:2" x14ac:dyDescent="0.2">
      <c r="A163" t="s">
        <v>329</v>
      </c>
      <c r="B163">
        <v>93</v>
      </c>
    </row>
    <row r="164" spans="1:2" x14ac:dyDescent="0.2">
      <c r="A164" t="s">
        <v>331</v>
      </c>
      <c r="B164">
        <v>436</v>
      </c>
    </row>
    <row r="165" spans="1:2" x14ac:dyDescent="0.2">
      <c r="A165" t="s">
        <v>333</v>
      </c>
      <c r="B165">
        <v>475</v>
      </c>
    </row>
    <row r="166" spans="1:2" x14ac:dyDescent="0.2">
      <c r="A166" t="s">
        <v>335</v>
      </c>
      <c r="B166">
        <v>343</v>
      </c>
    </row>
    <row r="167" spans="1:2" x14ac:dyDescent="0.2">
      <c r="A167" t="s">
        <v>337</v>
      </c>
      <c r="B167">
        <v>385</v>
      </c>
    </row>
    <row r="168" spans="1:2" x14ac:dyDescent="0.2">
      <c r="A168" t="s">
        <v>339</v>
      </c>
      <c r="B168">
        <v>698</v>
      </c>
    </row>
    <row r="169" spans="1:2" x14ac:dyDescent="0.2">
      <c r="A169" t="s">
        <v>540</v>
      </c>
    </row>
    <row r="170" spans="1:2" x14ac:dyDescent="0.2">
      <c r="A170" t="s">
        <v>343</v>
      </c>
      <c r="B170">
        <v>770</v>
      </c>
    </row>
    <row r="171" spans="1:2" x14ac:dyDescent="0.2">
      <c r="A171" t="s">
        <v>541</v>
      </c>
      <c r="B171">
        <v>986</v>
      </c>
    </row>
    <row r="172" spans="1:2" x14ac:dyDescent="0.2">
      <c r="A172" t="s">
        <v>347</v>
      </c>
      <c r="B172">
        <v>95</v>
      </c>
    </row>
    <row r="173" spans="1:2" x14ac:dyDescent="0.2">
      <c r="A173" t="s">
        <v>349</v>
      </c>
      <c r="B173">
        <v>911</v>
      </c>
    </row>
    <row r="174" spans="1:2" x14ac:dyDescent="0.2">
      <c r="A174" t="s">
        <v>351</v>
      </c>
      <c r="B174">
        <v>150</v>
      </c>
    </row>
    <row r="175" spans="1:2" x14ac:dyDescent="0.2">
      <c r="A175" t="s">
        <v>353</v>
      </c>
      <c r="B175">
        <v>135</v>
      </c>
    </row>
    <row r="176" spans="1:2" x14ac:dyDescent="0.2">
      <c r="A176" t="s">
        <v>355</v>
      </c>
      <c r="B176">
        <v>840</v>
      </c>
    </row>
    <row r="177" spans="1:2" x14ac:dyDescent="0.2">
      <c r="A177" t="s">
        <v>542</v>
      </c>
      <c r="B177">
        <v>290</v>
      </c>
    </row>
    <row r="178" spans="1:2" x14ac:dyDescent="0.2">
      <c r="A178" t="s">
        <v>359</v>
      </c>
      <c r="B178">
        <v>235</v>
      </c>
    </row>
    <row r="179" spans="1:2" x14ac:dyDescent="0.2">
      <c r="A179" t="s">
        <v>361</v>
      </c>
      <c r="B179">
        <v>694</v>
      </c>
    </row>
    <row r="180" spans="1:2" x14ac:dyDescent="0.2">
      <c r="A180" t="s">
        <v>363</v>
      </c>
      <c r="B180">
        <v>360</v>
      </c>
    </row>
    <row r="181" spans="1:2" x14ac:dyDescent="0.2">
      <c r="A181" t="s">
        <v>365</v>
      </c>
      <c r="B181" s="3">
        <v>365</v>
      </c>
    </row>
    <row r="182" spans="1:2" x14ac:dyDescent="0.2">
      <c r="A182" t="s">
        <v>367</v>
      </c>
      <c r="B182">
        <v>515</v>
      </c>
    </row>
    <row r="183" spans="1:2" x14ac:dyDescent="0.2">
      <c r="A183" t="s">
        <v>369</v>
      </c>
      <c r="B183">
        <v>9900</v>
      </c>
    </row>
    <row r="184" spans="1:2" x14ac:dyDescent="0.2">
      <c r="A184" t="s">
        <v>543</v>
      </c>
      <c r="B184">
        <v>331</v>
      </c>
    </row>
    <row r="185" spans="1:2" x14ac:dyDescent="0.2">
      <c r="A185" t="s">
        <v>544</v>
      </c>
      <c r="B185">
        <v>403</v>
      </c>
    </row>
    <row r="186" spans="1:2" x14ac:dyDescent="0.2">
      <c r="A186" t="s">
        <v>373</v>
      </c>
      <c r="B186">
        <v>670</v>
      </c>
    </row>
    <row r="187" spans="1:2" x14ac:dyDescent="0.2">
      <c r="A187" t="s">
        <v>375</v>
      </c>
      <c r="B187">
        <v>433</v>
      </c>
    </row>
    <row r="188" spans="1:2" x14ac:dyDescent="0.2">
      <c r="A188" t="s">
        <v>377</v>
      </c>
      <c r="B188" s="3">
        <v>348</v>
      </c>
    </row>
    <row r="189" spans="1:2" x14ac:dyDescent="0.2">
      <c r="A189" t="s">
        <v>545</v>
      </c>
      <c r="B189" s="3">
        <v>348</v>
      </c>
    </row>
    <row r="190" spans="1:2" x14ac:dyDescent="0.2">
      <c r="A190" t="s">
        <v>381</v>
      </c>
      <c r="B190">
        <v>591</v>
      </c>
    </row>
    <row r="191" spans="1:2" x14ac:dyDescent="0.2">
      <c r="A191" t="s">
        <v>383</v>
      </c>
      <c r="B191">
        <v>451</v>
      </c>
    </row>
    <row r="192" spans="1:2" x14ac:dyDescent="0.2">
      <c r="A192" t="s">
        <v>385</v>
      </c>
      <c r="B192">
        <v>830</v>
      </c>
    </row>
    <row r="193" spans="1:2" x14ac:dyDescent="0.2">
      <c r="A193" t="s">
        <v>387</v>
      </c>
      <c r="B193">
        <v>1073</v>
      </c>
    </row>
    <row r="194" spans="1:2" x14ac:dyDescent="0.2">
      <c r="A194" t="s">
        <v>546</v>
      </c>
      <c r="B194">
        <v>317</v>
      </c>
    </row>
    <row r="195" spans="1:2" x14ac:dyDescent="0.2">
      <c r="A195" t="s">
        <v>547</v>
      </c>
      <c r="B195">
        <v>349</v>
      </c>
    </row>
    <row r="196" spans="1:2" x14ac:dyDescent="0.2">
      <c r="A196" t="s">
        <v>393</v>
      </c>
      <c r="B196">
        <v>940</v>
      </c>
    </row>
    <row r="197" spans="1:2" x14ac:dyDescent="0.2">
      <c r="A197" t="s">
        <v>395</v>
      </c>
      <c r="B197">
        <v>521</v>
      </c>
    </row>
    <row r="198" spans="1:2" x14ac:dyDescent="0.2">
      <c r="A198" t="s">
        <v>397</v>
      </c>
      <c r="B198">
        <v>560</v>
      </c>
    </row>
    <row r="199" spans="1:2" x14ac:dyDescent="0.2">
      <c r="A199" t="s">
        <v>548</v>
      </c>
    </row>
    <row r="200" spans="1:2" x14ac:dyDescent="0.2">
      <c r="A200" t="s">
        <v>549</v>
      </c>
      <c r="B200">
        <v>626</v>
      </c>
    </row>
    <row r="201" spans="1:2" x14ac:dyDescent="0.2">
      <c r="A201" t="s">
        <v>401</v>
      </c>
      <c r="B201">
        <v>230</v>
      </c>
    </row>
    <row r="202" spans="1:2" x14ac:dyDescent="0.2">
      <c r="A202" t="s">
        <v>550</v>
      </c>
    </row>
    <row r="203" spans="1:2" x14ac:dyDescent="0.2">
      <c r="A203" t="s">
        <v>405</v>
      </c>
      <c r="B203">
        <v>780</v>
      </c>
    </row>
    <row r="204" spans="1:2" x14ac:dyDescent="0.2">
      <c r="A204" t="s">
        <v>407</v>
      </c>
      <c r="B204">
        <v>1075</v>
      </c>
    </row>
    <row r="205" spans="1:2" x14ac:dyDescent="0.2">
      <c r="A205" t="s">
        <v>409</v>
      </c>
      <c r="B205">
        <v>56</v>
      </c>
    </row>
    <row r="206" spans="1:2" x14ac:dyDescent="0.2">
      <c r="A206" t="s">
        <v>411</v>
      </c>
      <c r="B206">
        <v>57</v>
      </c>
    </row>
    <row r="207" spans="1:2" x14ac:dyDescent="0.2">
      <c r="A207" t="s">
        <v>551</v>
      </c>
    </row>
    <row r="208" spans="1:2" x14ac:dyDescent="0.2">
      <c r="A208" t="s">
        <v>415</v>
      </c>
      <c r="B208">
        <v>625</v>
      </c>
    </row>
    <row r="209" spans="1:2" x14ac:dyDescent="0.2">
      <c r="A209" t="s">
        <v>417</v>
      </c>
      <c r="B209">
        <v>115</v>
      </c>
    </row>
    <row r="210" spans="1:2" x14ac:dyDescent="0.2">
      <c r="A210" t="s">
        <v>419</v>
      </c>
      <c r="B210">
        <v>380</v>
      </c>
    </row>
    <row r="211" spans="1:2" x14ac:dyDescent="0.2">
      <c r="A211" t="s">
        <v>421</v>
      </c>
      <c r="B211">
        <v>225</v>
      </c>
    </row>
    <row r="212" spans="1:2" x14ac:dyDescent="0.2">
      <c r="A212" t="s">
        <v>552</v>
      </c>
      <c r="B212">
        <v>652</v>
      </c>
    </row>
    <row r="213" spans="1:2" x14ac:dyDescent="0.2">
      <c r="A213" t="s">
        <v>553</v>
      </c>
      <c r="B213">
        <v>713</v>
      </c>
    </row>
    <row r="214" spans="1:2" x14ac:dyDescent="0.2">
      <c r="A214" t="s">
        <v>554</v>
      </c>
      <c r="B214">
        <v>702</v>
      </c>
    </row>
    <row r="215" spans="1:2" x14ac:dyDescent="0.2">
      <c r="A215" t="s">
        <v>555</v>
      </c>
      <c r="B215">
        <v>512</v>
      </c>
    </row>
    <row r="216" spans="1:2" x14ac:dyDescent="0.2">
      <c r="A216" t="s">
        <v>433</v>
      </c>
      <c r="B216">
        <v>800</v>
      </c>
    </row>
    <row r="217" spans="1:2" x14ac:dyDescent="0.2">
      <c r="A217" t="s">
        <v>556</v>
      </c>
      <c r="B217">
        <v>860</v>
      </c>
    </row>
    <row r="218" spans="1:2" x14ac:dyDescent="0.2">
      <c r="A218" t="s">
        <v>437</v>
      </c>
      <c r="B218">
        <v>461</v>
      </c>
    </row>
    <row r="219" spans="1:2" x14ac:dyDescent="0.2">
      <c r="A219" t="s">
        <v>439</v>
      </c>
      <c r="B219">
        <v>955</v>
      </c>
    </row>
    <row r="220" spans="1:2" x14ac:dyDescent="0.2">
      <c r="A220" t="s">
        <v>441</v>
      </c>
      <c r="B220">
        <v>52</v>
      </c>
    </row>
    <row r="221" spans="1:2" x14ac:dyDescent="0.2">
      <c r="A221" t="s">
        <v>443</v>
      </c>
      <c r="B221">
        <v>616</v>
      </c>
    </row>
    <row r="222" spans="1:2" x14ac:dyDescent="0.2">
      <c r="A222" t="s">
        <v>557</v>
      </c>
      <c r="B222">
        <v>640</v>
      </c>
    </row>
    <row r="223" spans="1:2" x14ac:dyDescent="0.2">
      <c r="A223" t="s">
        <v>445</v>
      </c>
      <c r="B223">
        <v>701</v>
      </c>
    </row>
    <row r="224" spans="1:2" x14ac:dyDescent="0.2">
      <c r="A224" t="s">
        <v>447</v>
      </c>
      <c r="B224">
        <v>947</v>
      </c>
    </row>
    <row r="225" spans="1:2" x14ac:dyDescent="0.2">
      <c r="A225" t="s">
        <v>451</v>
      </c>
      <c r="B225">
        <v>500</v>
      </c>
    </row>
    <row r="226" spans="1:2" x14ac:dyDescent="0.2">
      <c r="A226" t="s">
        <v>453</v>
      </c>
      <c r="B226">
        <v>369</v>
      </c>
    </row>
    <row r="227" spans="1:2" x14ac:dyDescent="0.2">
      <c r="A227" t="s">
        <v>457</v>
      </c>
      <c r="B227">
        <v>696</v>
      </c>
    </row>
    <row r="228" spans="1:2" x14ac:dyDescent="0.2">
      <c r="A228" t="s">
        <v>459</v>
      </c>
      <c r="B228">
        <v>200</v>
      </c>
    </row>
    <row r="229" spans="1:2" x14ac:dyDescent="0.2">
      <c r="A229" t="s">
        <v>461</v>
      </c>
      <c r="B229">
        <v>2</v>
      </c>
    </row>
    <row r="230" spans="1:2" x14ac:dyDescent="0.2">
      <c r="A230" t="s">
        <v>463</v>
      </c>
      <c r="B230">
        <v>165</v>
      </c>
    </row>
    <row r="231" spans="1:2" x14ac:dyDescent="0.2">
      <c r="A231" t="s">
        <v>558</v>
      </c>
      <c r="B231" s="3">
        <v>365</v>
      </c>
    </row>
    <row r="232" spans="1:2" x14ac:dyDescent="0.2">
      <c r="A232" t="s">
        <v>559</v>
      </c>
      <c r="B232">
        <v>704</v>
      </c>
    </row>
    <row r="233" spans="1:2" x14ac:dyDescent="0.2">
      <c r="A233" t="s">
        <v>467</v>
      </c>
      <c r="B233">
        <v>935</v>
      </c>
    </row>
    <row r="234" spans="1:2" x14ac:dyDescent="0.2">
      <c r="A234" t="s">
        <v>560</v>
      </c>
      <c r="B234">
        <v>101</v>
      </c>
    </row>
    <row r="235" spans="1:2" x14ac:dyDescent="0.2">
      <c r="A235" t="s">
        <v>471</v>
      </c>
      <c r="B235">
        <v>815</v>
      </c>
    </row>
    <row r="236" spans="1:2" x14ac:dyDescent="0.2">
      <c r="A236" t="s">
        <v>473</v>
      </c>
      <c r="B236">
        <v>6631</v>
      </c>
    </row>
    <row r="237" spans="1:2" x14ac:dyDescent="0.2">
      <c r="A237" t="s">
        <v>561</v>
      </c>
    </row>
    <row r="238" spans="1:2" x14ac:dyDescent="0.2">
      <c r="A238" t="s">
        <v>562</v>
      </c>
    </row>
    <row r="239" spans="1:2" x14ac:dyDescent="0.2">
      <c r="A239" t="s">
        <v>477</v>
      </c>
    </row>
    <row r="240" spans="1:2" x14ac:dyDescent="0.2">
      <c r="A240" t="s">
        <v>563</v>
      </c>
      <c r="B240">
        <v>678</v>
      </c>
    </row>
    <row r="241" spans="1:2" x14ac:dyDescent="0.2">
      <c r="A241" t="s">
        <v>564</v>
      </c>
      <c r="B241">
        <v>680</v>
      </c>
    </row>
    <row r="242" spans="1:2" x14ac:dyDescent="0.2">
      <c r="A242" t="s">
        <v>565</v>
      </c>
      <c r="B242">
        <v>679</v>
      </c>
    </row>
    <row r="243" spans="1:2" x14ac:dyDescent="0.2">
      <c r="A243" t="s">
        <v>566</v>
      </c>
      <c r="B243">
        <v>345</v>
      </c>
    </row>
    <row r="244" spans="1:2" x14ac:dyDescent="0.2">
      <c r="A244" t="s">
        <v>487</v>
      </c>
      <c r="B244">
        <v>551</v>
      </c>
    </row>
    <row r="245" spans="1:2" x14ac:dyDescent="0.2">
      <c r="A245" t="s">
        <v>489</v>
      </c>
      <c r="B245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New</vt:lpstr>
      <vt:lpstr>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</dc:creator>
  <cp:lastModifiedBy>Youssef Ghallada</cp:lastModifiedBy>
  <dcterms:created xsi:type="dcterms:W3CDTF">2026-09-10T11:07:06Z</dcterms:created>
  <dcterms:modified xsi:type="dcterms:W3CDTF">2026-09-11T08:58:32Z</dcterms:modified>
</cp:coreProperties>
</file>